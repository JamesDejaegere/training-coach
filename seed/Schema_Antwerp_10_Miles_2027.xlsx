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tleg" sheetId="1" state="visible" r:id="rId3"/>
    <sheet name="Weekoverzicht" sheetId="2" state="visible" r:id="rId4"/>
    <sheet name="Dagschema" sheetId="3" state="visible" r:id="rId5"/>
    <sheet name="Polar trainingen" sheetId="4" state="visible" r:id="rId6"/>
  </sheets>
  <definedNames>
    <definedName function="false" hidden="true" localSheetId="2" name="_xlnm._FilterDatabase" vbProcedure="false">Dagschema!$A$1:$L$190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<sst xmlns="http://schemas.openxmlformats.org/spreadsheetml/2006/main" count="2227" uniqueCount="353">
  <si>
    <t xml:space="preserve">Trainingsschema Antwerp 10 Miles – zondag 25 april 2027</t>
  </si>
  <si>
    <t xml:space="preserve">Voor James · 27 weken (19 okt 2026 – 25 apr 2027) · lopen gecombineerd met pendelen naar Gent</t>
  </si>
  <si>
    <t xml:space="preserve">Doel</t>
  </si>
  <si>
    <t xml:space="preserve">Vorige tijd (2026)</t>
  </si>
  <si>
    <t xml:space="preserve">1:27:22 – 5:26/km</t>
  </si>
  <si>
    <t xml:space="preserve">Doeltijd 2027</t>
  </si>
  <si>
    <t xml:space="preserve">1:25:00 – 5:17/km</t>
  </si>
  <si>
    <t xml:space="preserve">Ambitieus (als alles meezit)</t>
  </si>
  <si>
    <t xml:space="preserve">1:22:00 – 5:06/km</t>
  </si>
  <si>
    <t xml:space="preserve">Checkpoint</t>
  </si>
  <si>
    <t xml:space="preserve">Testloop 10 km op zo 4 april: onder 52:00 → 1:25 realistisch; onder 50:30 → mik op 1:22</t>
  </si>
  <si>
    <t xml:space="preserve">Weekstructuur</t>
  </si>
  <si>
    <t xml:space="preserve">Dag</t>
  </si>
  <si>
    <t xml:space="preserve">Fase 1 (wk 1–12)</t>
  </si>
  <si>
    <t xml:space="preserve">Fase 2–3 (wk 13–25)</t>
  </si>
  <si>
    <t xml:space="preserve">Waarom</t>
  </si>
  <si>
    <t xml:space="preserve">Maandag</t>
  </si>
  <si>
    <t xml:space="preserve">Rustige loop</t>
  </si>
  <si>
    <t xml:space="preserve">Herstel na de lange duurloop</t>
  </si>
  <si>
    <t xml:space="preserve">Dinsdag</t>
  </si>
  <si>
    <t xml:space="preserve">Pendel fiets</t>
  </si>
  <si>
    <t xml:space="preserve">Aerobe basis zonder impact op pezen</t>
  </si>
  <si>
    <t xml:space="preserve">Woensdag</t>
  </si>
  <si>
    <t xml:space="preserve">Rustig + strides / fartlek</t>
  </si>
  <si>
    <t xml:space="preserve">Tempo (fase 2) / intervallen (fase 3)</t>
  </si>
  <si>
    <t xml:space="preserve">De kwaliteitstraining; nooit op een pendeldag</t>
  </si>
  <si>
    <t xml:space="preserve">Donderdag</t>
  </si>
  <si>
    <t xml:space="preserve">Kracht</t>
  </si>
  <si>
    <t xml:space="preserve">Rustige loop + kracht</t>
  </si>
  <si>
    <t xml:space="preserve">Kracht direct na een rustige loop</t>
  </si>
  <si>
    <t xml:space="preserve">Vrijdag</t>
  </si>
  <si>
    <t xml:space="preserve">Rustig, benen fris houden voor zondag</t>
  </si>
  <si>
    <t xml:space="preserve">Zaterdag</t>
  </si>
  <si>
    <t xml:space="preserve">Kracht (+ optioneel rustige rit)</t>
  </si>
  <si>
    <t xml:space="preserve">Kracht of rust</t>
  </si>
  <si>
    <t xml:space="preserve">Rust in herstelweken</t>
  </si>
  <si>
    <t xml:space="preserve">Zondag</t>
  </si>
  <si>
    <t xml:space="preserve">Lange duurloop</t>
  </si>
  <si>
    <t xml:space="preserve">Lange duurloop (soms met wedstrijdtempo)</t>
  </si>
  <si>
    <t xml:space="preserve">Belangrijkste training van de week</t>
  </si>
  <si>
    <t xml:space="preserve">Herstelweken: week 4, 8, 12, 16, 20 en 24 (minder volume, geen kwaliteit). Pendel je op andere dagen? Schuif zo dat er nooit een kwaliteitstraining op een pendeldag valt.</t>
  </si>
  <si>
    <t xml:space="preserve">Zones om in Polar Flow in te stellen (sportprofiel Hardlopen)</t>
  </si>
  <si>
    <t xml:space="preserve">Zone</t>
  </si>
  <si>
    <t xml:space="preserve">Hartslag (bpm)</t>
  </si>
  <si>
    <t xml:space="preserve">Tempo (min/km)</t>
  </si>
  <si>
    <t xml:space="preserve">Gebruik</t>
  </si>
  <si>
    <t xml:space="preserve">Zone 1</t>
  </si>
  <si>
    <t xml:space="preserve">105–124</t>
  </si>
  <si>
    <t xml:space="preserve">trager dan 7:00</t>
  </si>
  <si>
    <t xml:space="preserve">Opwarmen, herstel, joggen tussen intervallen</t>
  </si>
  <si>
    <t xml:space="preserve">Zone 2</t>
  </si>
  <si>
    <t xml:space="preserve">125–137</t>
  </si>
  <si>
    <t xml:space="preserve">6:15–7:00</t>
  </si>
  <si>
    <t xml:space="preserve">Rustige lopen en lange duurlopen (±80% van alles)</t>
  </si>
  <si>
    <t xml:space="preserve">Zone 3</t>
  </si>
  <si>
    <t xml:space="preserve">138–146</t>
  </si>
  <si>
    <t xml:space="preserve">5:35–6:15</t>
  </si>
  <si>
    <t xml:space="preserve">Grijze zone – zo weinig mogelijk</t>
  </si>
  <si>
    <t xml:space="preserve">Zone 4</t>
  </si>
  <si>
    <t xml:space="preserve">147–156</t>
  </si>
  <si>
    <t xml:space="preserve">5:08–5:35</t>
  </si>
  <si>
    <t xml:space="preserve">Tempo, drempel en wedstrijdtempo (5:17)</t>
  </si>
  <si>
    <t xml:space="preserve">Zone 5</t>
  </si>
  <si>
    <t xml:space="preserve">157+</t>
  </si>
  <si>
    <t xml:space="preserve">sneller dan 5:08</t>
  </si>
  <si>
    <t xml:space="preserve">Intervallen van 1 km</t>
  </si>
  <si>
    <t xml:space="preserve">Gebaseerd op je Strava-data: rustige lopen op HR 125–135, Antwerp 10 Miles gemiddeld 154 / max 165. Je huidige Strava-zones (5 km in 29:09) zijn verouderd. Pas aan na de testloop.</t>
  </si>
  <si>
    <t xml:space="preserve">Zo zet je het op je Polar Pacer Pro</t>
  </si>
  <si>
    <t xml:space="preserve">1. Ga in Polar Flow (web, flow.polar.com) naar Instellingen → Sportprofielen → Hardlopen en stel de hartslag- en tempozones hierboven in (vrije/handmatige zones).</t>
  </si>
  <si>
    <t xml:space="preserve">2. Maak per training in de tab 'Polar trainingen' een favoriet: Favorieten → Trainingsdoel maken → 'Gefaseerd'. Gebruik exact de naam uit de tab en neem de fasen één op één over (afstand of tijd + zone). Herhalingen maak je met 'Herhalen'.</t>
  </si>
  <si>
    <t xml:space="preserve">3. Begin met de trainingen van fase 1 (kolom 'Eerste keer'). Je hoeft niet alles vooraf aan te maken. Doe het per fase, ongeveer 6–10 favorieten.</t>
  </si>
  <si>
    <t xml:space="preserve">4. Plan ze in: open je dagboek in Polar Flow, klik op de dag → Toevoegen → Trainingsdoel → kies de favoriet. Doe dit telkens 2 weken vooruit.</t>
  </si>
  <si>
    <t xml:space="preserve">5. Synchroniseer je horloge. Op de Pacer Pro vind je de training van de dag bij het starten van een sessie (of via Favorieten). Het horloge begeleidt je fase per fase.</t>
  </si>
  <si>
    <t xml:space="preserve">6. Wedstrijddag: gebruik de Race Pace-functie (16,1 km in 1:25:00) in plaats van een gefaseerd doel.</t>
  </si>
  <si>
    <t xml:space="preserve">Alternatief: met een betalend TrainingPeaks Premium-account kun je trainingen plannen en verslepen; die synchroniseren automatisch naar Polar Flow en je horloge (tot 14 dagen vooruit). Met een gratis account kun je zelf geen toekomstige trainingen plannen.</t>
  </si>
  <si>
    <t xml:space="preserve">Krachtroutine (±25', 2× per week)</t>
  </si>
  <si>
    <t xml:space="preserve">Oefening</t>
  </si>
  <si>
    <t xml:space="preserve">Sets × herhalingen</t>
  </si>
  <si>
    <t xml:space="preserve">Kuitheffing gestrekt been (op trede, excentrisch traag zakken)</t>
  </si>
  <si>
    <t xml:space="preserve">3 × 15 per been</t>
  </si>
  <si>
    <t xml:space="preserve">Kuitblessure 2026: sterkere kuit en achillespees</t>
  </si>
  <si>
    <t xml:space="preserve">Kuitheffing gebogen knie (soleus)</t>
  </si>
  <si>
    <t xml:space="preserve">Soleus draagt veel van de belasting bij lopen</t>
  </si>
  <si>
    <t xml:space="preserve">Nordic hamstring curl (of hamstringbrug op 1 been)</t>
  </si>
  <si>
    <t xml:space="preserve">3 × 5–8</t>
  </si>
  <si>
    <t xml:space="preserve">Hamstringblessure 2026</t>
  </si>
  <si>
    <t xml:space="preserve">Bulgarian split squat of goblet squat</t>
  </si>
  <si>
    <t xml:space="preserve">3 × 10 per been</t>
  </si>
  <si>
    <t xml:space="preserve">Kracht en stabiliteit knie/heup</t>
  </si>
  <si>
    <t xml:space="preserve">Zijlig heupabductie of monster walk met band</t>
  </si>
  <si>
    <t xml:space="preserve">3 × 15</t>
  </si>
  <si>
    <t xml:space="preserve">Bekkenstabiliteit</t>
  </si>
  <si>
    <t xml:space="preserve">Plank + zijplank</t>
  </si>
  <si>
    <t xml:space="preserve">3 × 30–45"</t>
  </si>
  <si>
    <t xml:space="preserve">Romp</t>
  </si>
  <si>
    <t xml:space="preserve">Afvinken</t>
  </si>
  <si>
    <t xml:space="preserve">Gele cellen vul je zelf in: in 'Dagschema' een x bij Gedaan (plus eventueel je echte km en notities), in 'Weekoverzicht' wordt alles automatisch opgeteld. Voorbeeld: Gedaan = x, Gelopen km = 5,2.</t>
  </si>
  <si>
    <t xml:space="preserve">Blessureregel: pijn die tijdens het lopen erger wordt = stoppen. Liever 1 training missen dan 5 weken, zoals in juni.</t>
  </si>
  <si>
    <t xml:space="preserve">Week</t>
  </si>
  <si>
    <t xml:space="preserve">Start (ma)</t>
  </si>
  <si>
    <t xml:space="preserve">Fase</t>
  </si>
  <si>
    <t xml:space="preserve">Herstelweek</t>
  </si>
  <si>
    <t xml:space="preserve">Gepland lopen (km)</t>
  </si>
  <si>
    <t xml:space="preserve">Langste loop (km)</t>
  </si>
  <si>
    <t xml:space="preserve">Kwaliteitstraining</t>
  </si>
  <si>
    <t xml:space="preserve">Gepland fietsen (km)</t>
  </si>
  <si>
    <t xml:space="preserve">Gelopen km (echt)</t>
  </si>
  <si>
    <t xml:space="preserve">% van plan</t>
  </si>
  <si>
    <t xml:space="preserve">Sessies gedaan</t>
  </si>
  <si>
    <t xml:space="preserve">Sessies gepland</t>
  </si>
  <si>
    <t xml:space="preserve">1 · Basis</t>
  </si>
  <si>
    <t xml:space="preserve">Rustig 4 km</t>
  </si>
  <si>
    <t xml:space="preserve">Rustig 5 km + strides</t>
  </si>
  <si>
    <t xml:space="preserve">ja</t>
  </si>
  <si>
    <t xml:space="preserve">Rustig 6 km + strides</t>
  </si>
  <si>
    <t xml:space="preserve">Fartlek 8×1' (6 km)</t>
  </si>
  <si>
    <t xml:space="preserve">Fartlek 8×1' (7 km)</t>
  </si>
  <si>
    <t xml:space="preserve">Rustig 7 km + strides</t>
  </si>
  <si>
    <t xml:space="preserve">2 · Opbouw</t>
  </si>
  <si>
    <t xml:space="preserve">Tempo 3×6'</t>
  </si>
  <si>
    <t xml:space="preserve">Tempo 3×8'</t>
  </si>
  <si>
    <t xml:space="preserve">Tempo 3×10'</t>
  </si>
  <si>
    <t xml:space="preserve">Tempo 2×15'</t>
  </si>
  <si>
    <t xml:space="preserve">3 · Specifiek</t>
  </si>
  <si>
    <t xml:space="preserve">Interval 5×1 km</t>
  </si>
  <si>
    <t xml:space="preserve">Tempo 20' doorlopend</t>
  </si>
  <si>
    <t xml:space="preserve">Interval 6×1 km</t>
  </si>
  <si>
    <t xml:space="preserve">Interval 4×1600 m</t>
  </si>
  <si>
    <t xml:space="preserve">Interval 3×2 km</t>
  </si>
  <si>
    <t xml:space="preserve">Wedstrijdtempo 2×4 km</t>
  </si>
  <si>
    <t xml:space="preserve">4 · Taper</t>
  </si>
  <si>
    <t xml:space="preserve">Interval 4×1 km (taper)</t>
  </si>
  <si>
    <t xml:space="preserve">Wedstrijdtempo 3×1 km</t>
  </si>
  <si>
    <t xml:space="preserve">Totaal</t>
  </si>
  <si>
    <t xml:space="preserve">Gepland en gedaan worden automatisch berekend uit de tab Dagschema. Vul daar je km en een x in.</t>
  </si>
  <si>
    <t xml:space="preserve">Datum</t>
  </si>
  <si>
    <t xml:space="preserve">Sport</t>
  </si>
  <si>
    <t xml:space="preserve">Polar-favoriet</t>
  </si>
  <si>
    <t xml:space="preserve">Omschrijving</t>
  </si>
  <si>
    <t xml:space="preserve">Gepland km lopen</t>
  </si>
  <si>
    <t xml:space="preserve">Fiets km (pendel)</t>
  </si>
  <si>
    <t xml:space="preserve">Gedaan (x)</t>
  </si>
  <si>
    <t xml:space="preserve">Gelopen km</t>
  </si>
  <si>
    <t xml:space="preserve">Notities</t>
  </si>
  <si>
    <t xml:space="preserve">maandag</t>
  </si>
  <si>
    <t xml:space="preserve">Lopen</t>
  </si>
  <si>
    <t xml:space="preserve">Opwarmen 1,0 km → Rustig 3,0 km</t>
  </si>
  <si>
    <t xml:space="preserve">dinsdag</t>
  </si>
  <si>
    <t xml:space="preserve">Fietsen</t>
  </si>
  <si>
    <t xml:space="preserve">—</t>
  </si>
  <si>
    <t xml:space="preserve">Pendel Aalter–Gent heen en terug (±60 km). Rustig rijden: HR-zone 1–2, niet koersen. Geen pendel? Rust of 45–60' rustig fietsen.</t>
  </si>
  <si>
    <t xml:space="preserve">woensdag</t>
  </si>
  <si>
    <t xml:space="preserve">donderdag</t>
  </si>
  <si>
    <t xml:space="preserve">Krachtroutine (±25') – zie tab Uitleg.</t>
  </si>
  <si>
    <t xml:space="preserve">vrijdag</t>
  </si>
  <si>
    <t xml:space="preserve">zaterdag</t>
  </si>
  <si>
    <t xml:space="preserve">Krachtroutine (±25'). Optioneel: rustige fietstocht max. 90' in HR-zone 1–2.</t>
  </si>
  <si>
    <t xml:space="preserve">zondag</t>
  </si>
  <si>
    <t xml:space="preserve">Lange duurloop 7 km</t>
  </si>
  <si>
    <t xml:space="preserve">Opwarmen 1,0 km → Duurloop 6,0 km</t>
  </si>
  <si>
    <t xml:space="preserve">Opwarmen 1,0 km → Rustig 2,5 km → Stride 0:20 → Herstel 1:00 → Uitlopen 0,5 km</t>
  </si>
  <si>
    <t xml:space="preserve">Lange duurloop 8 km</t>
  </si>
  <si>
    <t xml:space="preserve">Opwarmen 1,0 km → Duurloop 7,0 km</t>
  </si>
  <si>
    <t xml:space="preserve">Rustig 5 km</t>
  </si>
  <si>
    <t xml:space="preserve">Opwarmen 1,0 km → Rustig 4,0 km</t>
  </si>
  <si>
    <t xml:space="preserve">Lange duurloop 9 km</t>
  </si>
  <si>
    <t xml:space="preserve">Opwarmen 1,0 km → Duurloop 8,0 km</t>
  </si>
  <si>
    <t xml:space="preserve">Rust</t>
  </si>
  <si>
    <t xml:space="preserve">Rustdag (wandelen mag).</t>
  </si>
  <si>
    <t xml:space="preserve">Opwarmen 1,0 km → Rustig 3,5 km → Stride 0:20 → Herstel 1:00 → Uitlopen 0,5 km</t>
  </si>
  <si>
    <t xml:space="preserve">Lange duurloop 10 km</t>
  </si>
  <si>
    <t xml:space="preserve">Opwarmen 1,0 km → Duurloop 9,0 km</t>
  </si>
  <si>
    <t xml:space="preserve">Opwarmen 2,0 km → Stevig 1:00 → Rustig 1:00 → Uitlopen 1,4 km</t>
  </si>
  <si>
    <t xml:space="preserve">Lange duurloop 11 km</t>
  </si>
  <si>
    <t xml:space="preserve">Opwarmen 1,0 km → Duurloop 10,0 km</t>
  </si>
  <si>
    <t xml:space="preserve">Rustig 6 km</t>
  </si>
  <si>
    <t xml:space="preserve">Opwarmen 1,0 km → Rustig 5,0 km</t>
  </si>
  <si>
    <t xml:space="preserve">Opwarmen 2,0 km → Stevig 1:00 → Rustig 1:00 → Uitlopen 2,4 km</t>
  </si>
  <si>
    <t xml:space="preserve">Lange duurloop 12 km</t>
  </si>
  <si>
    <t xml:space="preserve">Opwarmen 1,0 km → Duurloop 11,0 km</t>
  </si>
  <si>
    <t xml:space="preserve">Rustig 7 km</t>
  </si>
  <si>
    <t xml:space="preserve">Opwarmen 1,0 km → Rustig 6,0 km</t>
  </si>
  <si>
    <t xml:space="preserve">Lange duurloop 13 km</t>
  </si>
  <si>
    <t xml:space="preserve">Opwarmen 1,0 km → Duurloop 12,0 km</t>
  </si>
  <si>
    <t xml:space="preserve">Opwarmen 1,0 km → Rustig 4,5 km → Stride 0:20 → Herstel 1:00 → Uitlopen 0,5 km</t>
  </si>
  <si>
    <t xml:space="preserve">Opwarmen 2,0 km → Tempo 6:00 → Herstel 2:00 → Uitlopen 1,2 km</t>
  </si>
  <si>
    <t xml:space="preserve">Lopen + kracht</t>
  </si>
  <si>
    <t xml:space="preserve">Opwarmen 1,0 km → Rustig 3,0 km  |  Daarna krachtroutine (±20')</t>
  </si>
  <si>
    <t xml:space="preserve">Opwarmen 2,0 km → Tempo 8:00 → Herstel 2:00 → Uitlopen 1,1 km</t>
  </si>
  <si>
    <t xml:space="preserve">Opwarmen 1,0 km → Rustig 4,0 km  |  Daarna krachtroutine (±20')</t>
  </si>
  <si>
    <t xml:space="preserve">Opwarmen 2,0 km → Tempo 10:00 → Herstel 2:00 → Uitlopen 1,0 km</t>
  </si>
  <si>
    <t xml:space="preserve">Lange duurloop 14 km</t>
  </si>
  <si>
    <t xml:space="preserve">Opwarmen 1,0 km → Duurloop 13,0 km</t>
  </si>
  <si>
    <t xml:space="preserve">Opwarmen 2,0 km → Tempo 15:00 → Herstel 3:00 → Uitlopen 1,9 km</t>
  </si>
  <si>
    <t xml:space="preserve">Opwarmen 1,0 km → Rustig 5,0 km  |  Daarna krachtroutine (±20')</t>
  </si>
  <si>
    <t xml:space="preserve">Lange duurloop 15 km</t>
  </si>
  <si>
    <t xml:space="preserve">Opwarmen 1,0 km → Duurloop 14,0 km</t>
  </si>
  <si>
    <t xml:space="preserve">Opwarmen 2,0 km → Interval 1,0 km → Herstel 2:00 → Uitlopen 1,5 km</t>
  </si>
  <si>
    <t xml:space="preserve">Opwarmen 1,0 km → Rustig 3,5 km → Stride 0:20 → Herstel 1:00 → Uitlopen 0,5 km  |  Daarna krachtroutine (±20')</t>
  </si>
  <si>
    <t xml:space="preserve">Opwarmen 2,0 km → Tempo 20:00 → Uitlopen 1,2 km</t>
  </si>
  <si>
    <t xml:space="preserve">Opwarmen 1,0 km → Rustig 4,5 km → Stride 0:20 → Herstel 1:00 → Uitlopen 0,5 km  |  Daarna krachtroutine (±20')</t>
  </si>
  <si>
    <t xml:space="preserve">Lang 16 km (3 km wedstrijdtempo)</t>
  </si>
  <si>
    <t xml:space="preserve">Opwarmen 1,0 km → Duurloop 11,5 km → Wedstrijdtempo 3,0 km → Uitlopen 0,5 km</t>
  </si>
  <si>
    <t xml:space="preserve">Opwarmen 2,0 km → Interval 1,6 km → Herstel 2:30 → Uitlopen 1,5 km</t>
  </si>
  <si>
    <t xml:space="preserve">Lang 17 km (4 km wedstrijdtempo)</t>
  </si>
  <si>
    <t xml:space="preserve">Opwarmen 1,0 km → Duurloop 11,5 km → Wedstrijdtempo 4,0 km → Uitlopen 0,5 km</t>
  </si>
  <si>
    <t xml:space="preserve">Rustig 8 km</t>
  </si>
  <si>
    <t xml:space="preserve">Opwarmen 1,0 km → Rustig 7,0 km</t>
  </si>
  <si>
    <t xml:space="preserve">Opwarmen 2,0 km → Interval 2,0 km → Herstel 3:00 → Uitlopen 1,5 km</t>
  </si>
  <si>
    <t xml:space="preserve">Lange duurloop 18 km</t>
  </si>
  <si>
    <t xml:space="preserve">Opwarmen 1,0 km → Duurloop 17,0 km</t>
  </si>
  <si>
    <t xml:space="preserve">Testloop 10 km</t>
  </si>
  <si>
    <t xml:space="preserve">Opwarmen 2,0 km → Test 10,0 km → Uitlopen 1,5 km</t>
  </si>
  <si>
    <t xml:space="preserve">Opwarmen 2,0 km → Interval 4,0 km → Herstel 3:00 → Uitlopen 1,0 km</t>
  </si>
  <si>
    <t xml:space="preserve">Lang 16 km (6 km wedstrijdtempo)</t>
  </si>
  <si>
    <t xml:space="preserve">Opwarmen 1,0 km → Duurloop 8,5 km → Wedstrijdtempo 6,0 km → Uitlopen 0,5 km</t>
  </si>
  <si>
    <t xml:space="preserve">Lang 12 km (3 km wedstrijdtempo)</t>
  </si>
  <si>
    <t xml:space="preserve">Opwarmen 1,0 km → Duurloop 7,5 km → Wedstrijdtempo 3,0 km → Uitlopen 0,5 km</t>
  </si>
  <si>
    <t xml:space="preserve">Opwarmen 2,0 km → Interval 1,0 km → Herstel 2:00 → Uitlopen 1,0 km</t>
  </si>
  <si>
    <t xml:space="preserve">Rust. Pendel liefst niet vandaag, of heel rustig; benen sparen voor zondag.</t>
  </si>
  <si>
    <t xml:space="preserve">Shake-out 20'</t>
  </si>
  <si>
    <t xml:space="preserve">Rustig 20:00 → Stride 0:15 → Herstel 0:45</t>
  </si>
  <si>
    <t xml:space="preserve">Antwerp 10 Miles</t>
  </si>
  <si>
    <t xml:space="preserve">WEDSTRIJD – Race Pace 1:25:00 (5:17/km). Zie tab Polar trainingen.</t>
  </si>
  <si>
    <t xml:space="preserve">Trainingen om als gefaseerde favoriet in Polar Flow aan te maken</t>
  </si>
  <si>
    <t xml:space="preserve">Naam = favorietnaam in Polar Flow. Fasen in deze volgorde invoeren. Tempo- en hartslagzones: zie tab Uitleg.</t>
  </si>
  <si>
    <t xml:space="preserve">Totaal ±</t>
  </si>
  <si>
    <t xml:space="preserve">Eerste keer:</t>
  </si>
  <si>
    <t xml:space="preserve">Aantal keer:</t>
  </si>
  <si>
    <t xml:space="preserve">Naam</t>
  </si>
  <si>
    <t xml:space="preserve">Type</t>
  </si>
  <si>
    <t xml:space="preserve">Duur/afstand</t>
  </si>
  <si>
    <t xml:space="preserve">Doel in Polar</t>
  </si>
  <si>
    <t xml:space="preserve">Toelichting</t>
  </si>
  <si>
    <t xml:space="preserve">Opwarmen</t>
  </si>
  <si>
    <t xml:space="preserve">Afstand</t>
  </si>
  <si>
    <t xml:space="preserve">1,0 km</t>
  </si>
  <si>
    <t xml:space="preserve">HR-zone 1–2</t>
  </si>
  <si>
    <t xml:space="preserve">Heel rustig vertrekken, 6:45–7:15/km</t>
  </si>
  <si>
    <t xml:space="preserve">Rustig</t>
  </si>
  <si>
    <t xml:space="preserve">3,0 km</t>
  </si>
  <si>
    <t xml:space="preserve">HR-zone 2</t>
  </si>
  <si>
    <t xml:space="preserve">Babbeltempo, 6:20–6:50/km, HR 125–137</t>
  </si>
  <si>
    <t xml:space="preserve">Rustig vertrekken</t>
  </si>
  <si>
    <t xml:space="preserve">Duurloop</t>
  </si>
  <si>
    <t xml:space="preserve">6,0 km</t>
  </si>
  <si>
    <t xml:space="preserve">Gelijkmatig 6:20–6:50/km; drinken vanaf 75'</t>
  </si>
  <si>
    <t xml:space="preserve">Heel rustig vertrekken</t>
  </si>
  <si>
    <t xml:space="preserve">2,5 km</t>
  </si>
  <si>
    <t xml:space="preserve">6:20–6:50/km</t>
  </si>
  <si>
    <t xml:space="preserve">Herhaal 6×</t>
  </si>
  <si>
    <t xml:space="preserve">Herhaling</t>
  </si>
  <si>
    <t xml:space="preserve">6×</t>
  </si>
  <si>
    <t xml:space="preserve">Herhaal fasen 4–5 zes keer</t>
  </si>
  <si>
    <t xml:space="preserve">Stride</t>
  </si>
  <si>
    <t xml:space="preserve">Tijd</t>
  </si>
  <si>
    <t xml:space="preserve">0:20</t>
  </si>
  <si>
    <t xml:space="preserve">Vrij</t>
  </si>
  <si>
    <t xml:space="preserve">Ontspannen versnellen tot ±4:45/km, niet sprinten</t>
  </si>
  <si>
    <t xml:space="preserve">Herstel</t>
  </si>
  <si>
    <t xml:space="preserve">1:00</t>
  </si>
  <si>
    <t xml:space="preserve">HR-zone 1</t>
  </si>
  <si>
    <t xml:space="preserve">Wandelen of heel traag joggen</t>
  </si>
  <si>
    <t xml:space="preserve">Uitlopen</t>
  </si>
  <si>
    <t xml:space="preserve">0,5 km</t>
  </si>
  <si>
    <t xml:space="preserve">Rustig uitlopen</t>
  </si>
  <si>
    <t xml:space="preserve">7,0 km</t>
  </si>
  <si>
    <t xml:space="preserve">4,0 km</t>
  </si>
  <si>
    <t xml:space="preserve">8,0 km</t>
  </si>
  <si>
    <t xml:space="preserve">3,5 km</t>
  </si>
  <si>
    <t xml:space="preserve">9,0 km</t>
  </si>
  <si>
    <t xml:space="preserve">2,0 km</t>
  </si>
  <si>
    <t xml:space="preserve">Rustig inlopen</t>
  </si>
  <si>
    <t xml:space="preserve">Herhaal 8×</t>
  </si>
  <si>
    <t xml:space="preserve">8×</t>
  </si>
  <si>
    <t xml:space="preserve">Herhaal fasen 3–4 acht keer</t>
  </si>
  <si>
    <t xml:space="preserve">Stevig</t>
  </si>
  <si>
    <t xml:space="preserve">Tempozone 4</t>
  </si>
  <si>
    <t xml:space="preserve">Vlot maar gecontroleerd, ±5:20–5:35/km</t>
  </si>
  <si>
    <t xml:space="preserve">Joggen</t>
  </si>
  <si>
    <t xml:space="preserve">1,4 km</t>
  </si>
  <si>
    <t xml:space="preserve">10,0 km</t>
  </si>
  <si>
    <t xml:space="preserve">5,0 km</t>
  </si>
  <si>
    <t xml:space="preserve">2,4 km</t>
  </si>
  <si>
    <t xml:space="preserve">11,0 km</t>
  </si>
  <si>
    <t xml:space="preserve">12,0 km</t>
  </si>
  <si>
    <t xml:space="preserve">4,5 km</t>
  </si>
  <si>
    <t xml:space="preserve">Rustig inlopen + 3 korte versnellingen</t>
  </si>
  <si>
    <t xml:space="preserve">Herhaal 3×</t>
  </si>
  <si>
    <t xml:space="preserve">3×</t>
  </si>
  <si>
    <t xml:space="preserve">Herhaal fasen 3–4 (3×, laatste herstel mag weg)</t>
  </si>
  <si>
    <t xml:space="preserve">Tempo</t>
  </si>
  <si>
    <t xml:space="preserve">6:00</t>
  </si>
  <si>
    <t xml:space="preserve">Comfortabel hard: 5:25–5:35/km, HR 145–152</t>
  </si>
  <si>
    <t xml:space="preserve">2:00</t>
  </si>
  <si>
    <t xml:space="preserve">Rustig joggen</t>
  </si>
  <si>
    <t xml:space="preserve">1,2 km</t>
  </si>
  <si>
    <t xml:space="preserve">8:00</t>
  </si>
  <si>
    <t xml:space="preserve">1,1 km</t>
  </si>
  <si>
    <t xml:space="preserve">10:00</t>
  </si>
  <si>
    <t xml:space="preserve">13,0 km</t>
  </si>
  <si>
    <t xml:space="preserve">Herhaal 2×</t>
  </si>
  <si>
    <t xml:space="preserve">2×</t>
  </si>
  <si>
    <t xml:space="preserve">Herhaal fasen 3–4 (2×, laatste herstel mag weg)</t>
  </si>
  <si>
    <t xml:space="preserve">15:00</t>
  </si>
  <si>
    <t xml:space="preserve">Comfortabel hard: 5:10–5:20/km, HR 147–156</t>
  </si>
  <si>
    <t xml:space="preserve">3:00</t>
  </si>
  <si>
    <t xml:space="preserve">1,9 km</t>
  </si>
  <si>
    <t xml:space="preserve">14,0 km</t>
  </si>
  <si>
    <t xml:space="preserve">Rustig inlopen + 4 versnellingen van 15"</t>
  </si>
  <si>
    <t xml:space="preserve">Herhaal 5×</t>
  </si>
  <si>
    <t xml:space="preserve">5×</t>
  </si>
  <si>
    <t xml:space="preserve">Herhaal fasen 3–4 (5×)</t>
  </si>
  <si>
    <t xml:space="preserve">Interval</t>
  </si>
  <si>
    <t xml:space="preserve">Tempozone 5</t>
  </si>
  <si>
    <t xml:space="preserve">4:55–5:05/km, HR loopt op tot 155–162</t>
  </si>
  <si>
    <t xml:space="preserve">1,5 km</t>
  </si>
  <si>
    <t xml:space="preserve">20:00</t>
  </si>
  <si>
    <t xml:space="preserve">Gelijkmatig: 5:10–5:20/km, HR 147–156</t>
  </si>
  <si>
    <t xml:space="preserve">Herhaal fasen 3–4 (6×)</t>
  </si>
  <si>
    <t xml:space="preserve">4:55–5:05/km</t>
  </si>
  <si>
    <t xml:space="preserve">11,5 km</t>
  </si>
  <si>
    <t xml:space="preserve">Wedstrijdtempo</t>
  </si>
  <si>
    <t xml:space="preserve">5:15–5:20/km – zo voelt de 10 Miles aan</t>
  </si>
  <si>
    <t xml:space="preserve">Herhaal 4×</t>
  </si>
  <si>
    <t xml:space="preserve">4×</t>
  </si>
  <si>
    <t xml:space="preserve">Herhaal fasen 3–4 (4×)</t>
  </si>
  <si>
    <t xml:space="preserve">1,6 km</t>
  </si>
  <si>
    <t xml:space="preserve">Tempozone 4–5</t>
  </si>
  <si>
    <t xml:space="preserve">5:05–5:10/km, net sneller dan wedstrijdtempo</t>
  </si>
  <si>
    <t xml:space="preserve">2:30</t>
  </si>
  <si>
    <t xml:space="preserve">Herhaal fasen 3–4 (3×)</t>
  </si>
  <si>
    <t xml:space="preserve">5:08–5:15/km</t>
  </si>
  <si>
    <t xml:space="preserve">17,0 km</t>
  </si>
  <si>
    <t xml:space="preserve">Rustig + 4 versnellingen</t>
  </si>
  <si>
    <t xml:space="preserve">Test</t>
  </si>
  <si>
    <t xml:space="preserve">Zo snel mogelijk maar gelijkmatig. Start 5:15/km, laatste 3 km alles. Onder 52:00 = 1:25 haalbaar</t>
  </si>
  <si>
    <t xml:space="preserve">Herhaal fasen 3–4 (2×)</t>
  </si>
  <si>
    <t xml:space="preserve">5:15–5:20/km – exact je doeltempo</t>
  </si>
  <si>
    <t xml:space="preserve">8,5 km</t>
  </si>
  <si>
    <t xml:space="preserve">4:55–5:05/km, kort en scherp</t>
  </si>
  <si>
    <t xml:space="preserve">7,5 km</t>
  </si>
  <si>
    <t xml:space="preserve">5:15–5:20/km, ontspannen</t>
  </si>
  <si>
    <t xml:space="preserve">Heel losjes</t>
  </si>
  <si>
    <t xml:space="preserve">Herhaal fasen 3–4 vier keer</t>
  </si>
  <si>
    <t xml:space="preserve">0:15</t>
  </si>
  <si>
    <t xml:space="preserve">Wedstrijdtempo voelen</t>
  </si>
  <si>
    <t xml:space="preserve">0:45</t>
  </si>
  <si>
    <t xml:space="preserve">Wandelen</t>
  </si>
  <si>
    <t xml:space="preserve">Wedstrijd</t>
  </si>
  <si>
    <t xml:space="preserve">16,1 km</t>
  </si>
  <si>
    <t xml:space="preserve">Race Pace: 1:25:00</t>
  </si>
  <si>
    <t xml:space="preserve">Gebruik de Race Pace-functie op je Pacer Pro. Km 0–5: 5:20, km 5–13: 5:15, vanaf de Kennedytunnel: wat er nog in zit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</si>
</sst>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"/>
    <numFmt numFmtId="167" formatCode="0%"/>
    <numFmt numFmtId="168" formatCode="0"/>
    <numFmt numFmtId="169" formatCode="0.0&quot; km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DE2F6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EDE2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22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</row>
    <row r="6" customFormat="false" ht="15" hidden="false" customHeight="true" outlineLevel="0" collapsed="false">
      <c r="A6" s="5" t="s">
        <v>5</v>
      </c>
      <c r="B6" s="6" t="s">
        <v>6</v>
      </c>
      <c r="C6" s="6"/>
      <c r="D6" s="6"/>
    </row>
    <row r="7" customFormat="false" ht="15" hidden="false" customHeight="true" outlineLevel="0" collapsed="false">
      <c r="A7" s="5" t="s">
        <v>7</v>
      </c>
      <c r="B7" s="6" t="s">
        <v>8</v>
      </c>
      <c r="C7" s="6"/>
      <c r="D7" s="6"/>
    </row>
    <row r="8" customFormat="false" ht="15" hidden="false" customHeight="true" outlineLevel="0" collapsed="false">
      <c r="A8" s="5" t="s">
        <v>9</v>
      </c>
      <c r="B8" s="6" t="s">
        <v>10</v>
      </c>
      <c r="C8" s="6"/>
      <c r="D8" s="6"/>
    </row>
    <row r="10" customFormat="false" ht="15" hidden="false" customHeight="true" outlineLevel="0" collapsed="false">
      <c r="A10" s="4" t="s">
        <v>11</v>
      </c>
    </row>
    <row r="11" customFormat="false" ht="15" hidden="false" customHeight="true" outlineLevel="0" collapsed="false">
      <c r="A11" s="7" t="s">
        <v>12</v>
      </c>
      <c r="B11" s="7" t="s">
        <v>13</v>
      </c>
      <c r="C11" s="7" t="s">
        <v>14</v>
      </c>
      <c r="D11" s="7" t="s">
        <v>15</v>
      </c>
    </row>
    <row r="12" customFormat="false" ht="15" hidden="false" customHeight="true" outlineLevel="0" collapsed="false">
      <c r="A12" s="8" t="s">
        <v>16</v>
      </c>
      <c r="B12" s="8" t="s">
        <v>17</v>
      </c>
      <c r="C12" s="8" t="s">
        <v>17</v>
      </c>
      <c r="D12" s="8" t="s">
        <v>18</v>
      </c>
    </row>
    <row r="13" customFormat="false" ht="15" hidden="false" customHeight="true" outlineLevel="0" collapsed="false">
      <c r="A13" s="8" t="s">
        <v>19</v>
      </c>
      <c r="B13" s="8" t="s">
        <v>20</v>
      </c>
      <c r="C13" s="8" t="s">
        <v>20</v>
      </c>
      <c r="D13" s="8" t="s">
        <v>21</v>
      </c>
    </row>
    <row r="14" customFormat="false" ht="26.25" hidden="false" customHeight="true" outlineLevel="0" collapsed="false">
      <c r="A14" s="8" t="s">
        <v>22</v>
      </c>
      <c r="B14" s="8" t="s">
        <v>23</v>
      </c>
      <c r="C14" s="8" t="s">
        <v>24</v>
      </c>
      <c r="D14" s="8" t="s">
        <v>25</v>
      </c>
    </row>
    <row r="15" customFormat="false" ht="15" hidden="false" customHeight="true" outlineLevel="0" collapsed="false">
      <c r="A15" s="8" t="s">
        <v>26</v>
      </c>
      <c r="B15" s="8" t="s">
        <v>27</v>
      </c>
      <c r="C15" s="8" t="s">
        <v>28</v>
      </c>
      <c r="D15" s="8" t="s">
        <v>29</v>
      </c>
    </row>
    <row r="16" customFormat="false" ht="15" hidden="false" customHeight="true" outlineLevel="0" collapsed="false">
      <c r="A16" s="8" t="s">
        <v>30</v>
      </c>
      <c r="B16" s="8" t="s">
        <v>20</v>
      </c>
      <c r="C16" s="8" t="s">
        <v>20</v>
      </c>
      <c r="D16" s="8" t="s">
        <v>31</v>
      </c>
    </row>
    <row r="17" customFormat="false" ht="26.25" hidden="false" customHeight="true" outlineLevel="0" collapsed="false">
      <c r="A17" s="8" t="s">
        <v>32</v>
      </c>
      <c r="B17" s="8" t="s">
        <v>33</v>
      </c>
      <c r="C17" s="8" t="s">
        <v>34</v>
      </c>
      <c r="D17" s="8" t="s">
        <v>35</v>
      </c>
    </row>
    <row r="18" customFormat="false" ht="26.25" hidden="false" customHeight="true" outlineLevel="0" collapsed="false">
      <c r="A18" s="8" t="s">
        <v>36</v>
      </c>
      <c r="B18" s="8" t="s">
        <v>37</v>
      </c>
      <c r="C18" s="8" t="s">
        <v>38</v>
      </c>
      <c r="D18" s="8" t="s">
        <v>39</v>
      </c>
    </row>
    <row r="19" customFormat="false" ht="30" hidden="false" customHeight="true" outlineLevel="0" collapsed="false">
      <c r="A19" s="9" t="s">
        <v>40</v>
      </c>
      <c r="B19" s="9"/>
      <c r="C19" s="9"/>
      <c r="D19" s="9"/>
    </row>
    <row r="21" customFormat="false" ht="15" hidden="false" customHeight="true" outlineLevel="0" collapsed="false">
      <c r="A21" s="4" t="s">
        <v>41</v>
      </c>
    </row>
    <row r="22" customFormat="false" ht="15" hidden="false" customHeight="true" outlineLevel="0" collapsed="false">
      <c r="A22" s="7" t="s">
        <v>42</v>
      </c>
      <c r="B22" s="7" t="s">
        <v>43</v>
      </c>
      <c r="C22" s="7" t="s">
        <v>44</v>
      </c>
      <c r="D22" s="7" t="s">
        <v>45</v>
      </c>
    </row>
    <row r="23" customFormat="false" ht="15" hidden="false" customHeight="true" outlineLevel="0" collapsed="false">
      <c r="A23" s="8" t="s">
        <v>46</v>
      </c>
      <c r="B23" s="8" t="s">
        <v>47</v>
      </c>
      <c r="C23" s="8" t="s">
        <v>48</v>
      </c>
      <c r="D23" s="8" t="s">
        <v>49</v>
      </c>
    </row>
    <row r="24" customFormat="false" ht="15" hidden="false" customHeight="true" outlineLevel="0" collapsed="false">
      <c r="A24" s="8" t="s">
        <v>50</v>
      </c>
      <c r="B24" s="8" t="s">
        <v>51</v>
      </c>
      <c r="C24" s="8" t="s">
        <v>52</v>
      </c>
      <c r="D24" s="8" t="s">
        <v>53</v>
      </c>
    </row>
    <row r="25" customFormat="false" ht="15" hidden="false" customHeight="true" outlineLevel="0" collapsed="false">
      <c r="A25" s="8" t="s">
        <v>54</v>
      </c>
      <c r="B25" s="8" t="s">
        <v>55</v>
      </c>
      <c r="C25" s="8" t="s">
        <v>56</v>
      </c>
      <c r="D25" s="8" t="s">
        <v>57</v>
      </c>
    </row>
    <row r="26" customFormat="false" ht="15" hidden="false" customHeight="true" outlineLevel="0" collapsed="false">
      <c r="A26" s="8" t="s">
        <v>58</v>
      </c>
      <c r="B26" s="8" t="s">
        <v>59</v>
      </c>
      <c r="C26" s="8" t="s">
        <v>60</v>
      </c>
      <c r="D26" s="8" t="s">
        <v>61</v>
      </c>
    </row>
    <row r="27" customFormat="false" ht="15" hidden="false" customHeight="true" outlineLevel="0" collapsed="false">
      <c r="A27" s="8" t="s">
        <v>62</v>
      </c>
      <c r="B27" s="8" t="s">
        <v>63</v>
      </c>
      <c r="C27" s="8" t="s">
        <v>64</v>
      </c>
      <c r="D27" s="8" t="s">
        <v>65</v>
      </c>
    </row>
    <row r="28" customFormat="false" ht="30" hidden="false" customHeight="true" outlineLevel="0" collapsed="false">
      <c r="A28" s="9" t="s">
        <v>66</v>
      </c>
      <c r="B28" s="9"/>
      <c r="C28" s="9"/>
      <c r="D28" s="9"/>
    </row>
    <row r="30" customFormat="false" ht="15" hidden="false" customHeight="true" outlineLevel="0" collapsed="false">
      <c r="A30" s="4" t="s">
        <v>67</v>
      </c>
    </row>
    <row r="31" customFormat="false" ht="31.5" hidden="false" customHeight="true" outlineLevel="0" collapsed="false">
      <c r="A31" s="10" t="s">
        <v>68</v>
      </c>
      <c r="B31" s="10"/>
      <c r="C31" s="10"/>
      <c r="D31" s="10"/>
    </row>
    <row r="32" customFormat="false" ht="31.5" hidden="false" customHeight="true" outlineLevel="0" collapsed="false">
      <c r="A32" s="10" t="s">
        <v>69</v>
      </c>
      <c r="B32" s="10"/>
      <c r="C32" s="10"/>
      <c r="D32" s="10"/>
    </row>
    <row r="33" customFormat="false" ht="31.5" hidden="false" customHeight="true" outlineLevel="0" collapsed="false">
      <c r="A33" s="10" t="s">
        <v>70</v>
      </c>
      <c r="B33" s="10"/>
      <c r="C33" s="10"/>
      <c r="D33" s="10"/>
    </row>
    <row r="34" customFormat="false" ht="31.5" hidden="false" customHeight="true" outlineLevel="0" collapsed="false">
      <c r="A34" s="10" t="s">
        <v>71</v>
      </c>
      <c r="B34" s="10"/>
      <c r="C34" s="10"/>
      <c r="D34" s="10"/>
    </row>
    <row r="35" customFormat="false" ht="31.5" hidden="false" customHeight="true" outlineLevel="0" collapsed="false">
      <c r="A35" s="10" t="s">
        <v>72</v>
      </c>
      <c r="B35" s="10"/>
      <c r="C35" s="10"/>
      <c r="D35" s="10"/>
    </row>
    <row r="36" customFormat="false" ht="31.5" hidden="false" customHeight="true" outlineLevel="0" collapsed="false">
      <c r="A36" s="10" t="s">
        <v>73</v>
      </c>
      <c r="B36" s="10"/>
      <c r="C36" s="10"/>
      <c r="D36" s="10"/>
    </row>
    <row r="37" customFormat="false" ht="31.5" hidden="false" customHeight="true" outlineLevel="0" collapsed="false">
      <c r="A37" s="10" t="s">
        <v>74</v>
      </c>
      <c r="B37" s="10"/>
      <c r="C37" s="10"/>
      <c r="D37" s="10"/>
    </row>
    <row r="39" customFormat="false" ht="15" hidden="false" customHeight="true" outlineLevel="0" collapsed="false">
      <c r="A39" s="4" t="s">
        <v>75</v>
      </c>
    </row>
    <row r="40" customFormat="false" ht="15" hidden="false" customHeight="true" outlineLevel="0" collapsed="false">
      <c r="A40" s="7" t="s">
        <v>76</v>
      </c>
      <c r="B40" s="7" t="s">
        <v>77</v>
      </c>
      <c r="C40" s="7"/>
      <c r="D40" s="7" t="s">
        <v>15</v>
      </c>
    </row>
    <row r="41" customFormat="false" ht="39" hidden="false" customHeight="true" outlineLevel="0" collapsed="false">
      <c r="A41" s="8" t="s">
        <v>78</v>
      </c>
      <c r="B41" s="8" t="s">
        <v>79</v>
      </c>
      <c r="C41" s="8"/>
      <c r="D41" s="8" t="s">
        <v>80</v>
      </c>
    </row>
    <row r="42" customFormat="false" ht="26.25" hidden="false" customHeight="true" outlineLevel="0" collapsed="false">
      <c r="A42" s="8" t="s">
        <v>81</v>
      </c>
      <c r="B42" s="8" t="s">
        <v>79</v>
      </c>
      <c r="C42" s="8"/>
      <c r="D42" s="8" t="s">
        <v>82</v>
      </c>
    </row>
    <row r="43" customFormat="false" ht="26.25" hidden="false" customHeight="true" outlineLevel="0" collapsed="false">
      <c r="A43" s="8" t="s">
        <v>83</v>
      </c>
      <c r="B43" s="8" t="s">
        <v>84</v>
      </c>
      <c r="C43" s="8"/>
      <c r="D43" s="8" t="s">
        <v>85</v>
      </c>
    </row>
    <row r="44" customFormat="false" ht="26.25" hidden="false" customHeight="true" outlineLevel="0" collapsed="false">
      <c r="A44" s="8" t="s">
        <v>86</v>
      </c>
      <c r="B44" s="8" t="s">
        <v>87</v>
      </c>
      <c r="C44" s="8"/>
      <c r="D44" s="8" t="s">
        <v>88</v>
      </c>
    </row>
    <row r="45" customFormat="false" ht="26.25" hidden="false" customHeight="true" outlineLevel="0" collapsed="false">
      <c r="A45" s="8" t="s">
        <v>89</v>
      </c>
      <c r="B45" s="8" t="s">
        <v>90</v>
      </c>
      <c r="C45" s="8"/>
      <c r="D45" s="8" t="s">
        <v>91</v>
      </c>
    </row>
    <row r="46" customFormat="false" ht="15" hidden="false" customHeight="true" outlineLevel="0" collapsed="false">
      <c r="A46" s="8" t="s">
        <v>92</v>
      </c>
      <c r="B46" s="8" t="s">
        <v>93</v>
      </c>
      <c r="C46" s="8"/>
      <c r="D46" s="8" t="s">
        <v>94</v>
      </c>
    </row>
    <row r="48" customFormat="false" ht="15" hidden="false" customHeight="true" outlineLevel="0" collapsed="false">
      <c r="A48" s="4" t="s">
        <v>95</v>
      </c>
    </row>
    <row r="49" customFormat="false" ht="30" hidden="false" customHeight="true" outlineLevel="0" collapsed="false">
      <c r="A49" s="10" t="s">
        <v>96</v>
      </c>
      <c r="B49" s="10"/>
      <c r="C49" s="10"/>
      <c r="D49" s="10"/>
    </row>
    <row r="50" customFormat="false" ht="15" hidden="false" customHeight="true" outlineLevel="0" collapsed="false">
      <c r="A50" s="11" t="s">
        <v>97</v>
      </c>
      <c r="B50" s="11"/>
      <c r="C50" s="11"/>
      <c r="D50" s="11"/>
    </row>
  </sheetData>
  <mergeCells count="21">
    <mergeCell ref="B5:D5"/>
    <mergeCell ref="B6:D6"/>
    <mergeCell ref="B7:D7"/>
    <mergeCell ref="B8:D8"/>
    <mergeCell ref="A19:D19"/>
    <mergeCell ref="A28:D28"/>
    <mergeCell ref="A31:D31"/>
    <mergeCell ref="A32:D32"/>
    <mergeCell ref="A33:D33"/>
    <mergeCell ref="A34:D34"/>
    <mergeCell ref="A35:D35"/>
    <mergeCell ref="A36:D36"/>
    <mergeCell ref="A37:D37"/>
    <mergeCell ref="B41:C41"/>
    <mergeCell ref="B42:C42"/>
    <mergeCell ref="B43:C43"/>
    <mergeCell ref="B44:C44"/>
    <mergeCell ref="B45:C45"/>
    <mergeCell ref="B46:C46"/>
    <mergeCell ref="A49:D49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30"/>
    <col collapsed="false" customWidth="true" hidden="false" outlineLevel="0" max="9" min="8" style="1" width="12"/>
    <col collapsed="false" customWidth="true" hidden="false" outlineLevel="0" max="10" min="10" style="1" width="10"/>
    <col collapsed="false" customWidth="true" hidden="false" outlineLevel="0" max="12" min="11" style="1" width="11"/>
  </cols>
  <sheetData>
    <row r="1" customFormat="false" ht="39" hidden="false" customHeight="true" outlineLevel="0" collapsed="false">
      <c r="A1" s="7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7" t="s">
        <v>105</v>
      </c>
      <c r="I1" s="7" t="s">
        <v>106</v>
      </c>
      <c r="J1" s="7" t="s">
        <v>107</v>
      </c>
      <c r="K1" s="7" t="s">
        <v>108</v>
      </c>
      <c r="L1" s="7" t="s">
        <v>109</v>
      </c>
    </row>
    <row r="2" customFormat="false" ht="15" hidden="false" customHeight="true" outlineLevel="0" collapsed="false">
      <c r="A2" s="12" t="n">
        <v>1</v>
      </c>
      <c r="B2" s="13" t="n">
        <v>46314</v>
      </c>
      <c r="C2" s="14" t="s">
        <v>110</v>
      </c>
      <c r="D2" s="12"/>
      <c r="E2" s="15" t="n">
        <f aca="false">SUMIFS(Dagschema!$H$2:$H$190,Dagschema!$C$2:$C$190,A2)</f>
        <v>15</v>
      </c>
      <c r="F2" s="15" t="n">
        <f aca="false">_xlfn.MAXIFS(Dagschema!$H$2:$H$190,Dagschema!$C$2:$C$190,A2)</f>
        <v>7</v>
      </c>
      <c r="G2" s="12" t="s">
        <v>111</v>
      </c>
      <c r="H2" s="12" t="n">
        <f aca="false">SUMIFS(Dagschema!$I$2:$I$190,Dagschema!$C$2:$C$190,A2)</f>
        <v>120</v>
      </c>
      <c r="I2" s="15" t="n">
        <f aca="false">SUMIFS(Dagschema!$K$2:$K$190,Dagschema!$C$2:$C$190,A2)</f>
        <v>0</v>
      </c>
      <c r="J2" s="16" t="str">
        <f aca="false">IF(I2=0,"",I2/E2)</f>
        <v/>
      </c>
      <c r="K2" s="12" t="n">
        <f aca="false">COUNTIFS(Dagschema!$C$2:$C$190,A2,Dagschema!$J$2:$J$190,"x")</f>
        <v>0</v>
      </c>
      <c r="L2" s="12" t="n">
        <f aca="false">COUNTIFS(Dagschema!$C$2:$C$190,A2,Dagschema!$E$2:$E$190,"&lt;&gt;Rust")</f>
        <v>7</v>
      </c>
    </row>
    <row r="3" customFormat="false" ht="15" hidden="false" customHeight="true" outlineLevel="0" collapsed="false">
      <c r="A3" s="12" t="n">
        <v>2</v>
      </c>
      <c r="B3" s="13" t="n">
        <v>46321</v>
      </c>
      <c r="C3" s="14" t="s">
        <v>110</v>
      </c>
      <c r="D3" s="12"/>
      <c r="E3" s="15" t="n">
        <f aca="false">SUMIFS(Dagschema!$H$2:$H$190,Dagschema!$C$2:$C$190,A3)</f>
        <v>17.3</v>
      </c>
      <c r="F3" s="15" t="n">
        <f aca="false">_xlfn.MAXIFS(Dagschema!$H$2:$H$190,Dagschema!$C$2:$C$190,A3)</f>
        <v>8</v>
      </c>
      <c r="G3" s="12" t="s">
        <v>112</v>
      </c>
      <c r="H3" s="12" t="n">
        <f aca="false">SUMIFS(Dagschema!$I$2:$I$190,Dagschema!$C$2:$C$190,A3)</f>
        <v>120</v>
      </c>
      <c r="I3" s="15" t="n">
        <f aca="false">SUMIFS(Dagschema!$K$2:$K$190,Dagschema!$C$2:$C$190,A3)</f>
        <v>0</v>
      </c>
      <c r="J3" s="16" t="str">
        <f aca="false">IF(I3=0,"",I3/E3)</f>
        <v/>
      </c>
      <c r="K3" s="12" t="n">
        <f aca="false">COUNTIFS(Dagschema!$C$2:$C$190,A3,Dagschema!$J$2:$J$190,"x")</f>
        <v>0</v>
      </c>
      <c r="L3" s="12" t="n">
        <f aca="false">COUNTIFS(Dagschema!$C$2:$C$190,A3,Dagschema!$E$2:$E$190,"&lt;&gt;Rust")</f>
        <v>7</v>
      </c>
    </row>
    <row r="4" customFormat="false" ht="15" hidden="false" customHeight="true" outlineLevel="0" collapsed="false">
      <c r="A4" s="12" t="n">
        <v>3</v>
      </c>
      <c r="B4" s="13" t="n">
        <v>46328</v>
      </c>
      <c r="C4" s="14" t="s">
        <v>110</v>
      </c>
      <c r="D4" s="12"/>
      <c r="E4" s="15" t="n">
        <f aca="false">SUMIFS(Dagschema!$H$2:$H$190,Dagschema!$C$2:$C$190,A4)</f>
        <v>19.3</v>
      </c>
      <c r="F4" s="15" t="n">
        <f aca="false">_xlfn.MAXIFS(Dagschema!$H$2:$H$190,Dagschema!$C$2:$C$190,A4)</f>
        <v>9</v>
      </c>
      <c r="G4" s="12" t="s">
        <v>112</v>
      </c>
      <c r="H4" s="12" t="n">
        <f aca="false">SUMIFS(Dagschema!$I$2:$I$190,Dagschema!$C$2:$C$190,A4)</f>
        <v>120</v>
      </c>
      <c r="I4" s="15" t="n">
        <f aca="false">SUMIFS(Dagschema!$K$2:$K$190,Dagschema!$C$2:$C$190,A4)</f>
        <v>0</v>
      </c>
      <c r="J4" s="16" t="str">
        <f aca="false">IF(I4=0,"",I4/E4)</f>
        <v/>
      </c>
      <c r="K4" s="12" t="n">
        <f aca="false">COUNTIFS(Dagschema!$C$2:$C$190,A4,Dagschema!$J$2:$J$190,"x")</f>
        <v>0</v>
      </c>
      <c r="L4" s="12" t="n">
        <f aca="false">COUNTIFS(Dagschema!$C$2:$C$190,A4,Dagschema!$E$2:$E$190,"&lt;&gt;Rust")</f>
        <v>7</v>
      </c>
    </row>
    <row r="5" customFormat="false" ht="15" hidden="false" customHeight="true" outlineLevel="0" collapsed="false">
      <c r="A5" s="12" t="n">
        <v>4</v>
      </c>
      <c r="B5" s="13" t="n">
        <v>46335</v>
      </c>
      <c r="C5" s="14" t="s">
        <v>110</v>
      </c>
      <c r="D5" s="12" t="s">
        <v>113</v>
      </c>
      <c r="E5" s="15" t="n">
        <f aca="false">SUMIFS(Dagschema!$H$2:$H$190,Dagschema!$C$2:$C$190,A5)</f>
        <v>15</v>
      </c>
      <c r="F5" s="15" t="n">
        <f aca="false">_xlfn.MAXIFS(Dagschema!$H$2:$H$190,Dagschema!$C$2:$C$190,A5)</f>
        <v>7</v>
      </c>
      <c r="G5" s="12" t="s">
        <v>111</v>
      </c>
      <c r="H5" s="12" t="n">
        <f aca="false">SUMIFS(Dagschema!$I$2:$I$190,Dagschema!$C$2:$C$190,A5)</f>
        <v>120</v>
      </c>
      <c r="I5" s="15" t="n">
        <f aca="false">SUMIFS(Dagschema!$K$2:$K$190,Dagschema!$C$2:$C$190,A5)</f>
        <v>0</v>
      </c>
      <c r="J5" s="16" t="str">
        <f aca="false">IF(I5=0,"",I5/E5)</f>
        <v/>
      </c>
      <c r="K5" s="12" t="n">
        <f aca="false">COUNTIFS(Dagschema!$C$2:$C$190,A5,Dagschema!$J$2:$J$190,"x")</f>
        <v>0</v>
      </c>
      <c r="L5" s="12" t="n">
        <f aca="false">COUNTIFS(Dagschema!$C$2:$C$190,A5,Dagschema!$E$2:$E$190,"&lt;&gt;Rust")</f>
        <v>6</v>
      </c>
    </row>
    <row r="6" customFormat="false" ht="15" hidden="false" customHeight="true" outlineLevel="0" collapsed="false">
      <c r="A6" s="12" t="n">
        <v>5</v>
      </c>
      <c r="B6" s="13" t="n">
        <v>46342</v>
      </c>
      <c r="C6" s="14" t="s">
        <v>110</v>
      </c>
      <c r="D6" s="12"/>
      <c r="E6" s="15" t="n">
        <f aca="false">SUMIFS(Dagschema!$H$2:$H$190,Dagschema!$C$2:$C$190,A6)</f>
        <v>21.3</v>
      </c>
      <c r="F6" s="15" t="n">
        <f aca="false">_xlfn.MAXIFS(Dagschema!$H$2:$H$190,Dagschema!$C$2:$C$190,A6)</f>
        <v>10</v>
      </c>
      <c r="G6" s="12" t="s">
        <v>114</v>
      </c>
      <c r="H6" s="12" t="n">
        <f aca="false">SUMIFS(Dagschema!$I$2:$I$190,Dagschema!$C$2:$C$190,A6)</f>
        <v>120</v>
      </c>
      <c r="I6" s="15" t="n">
        <f aca="false">SUMIFS(Dagschema!$K$2:$K$190,Dagschema!$C$2:$C$190,A6)</f>
        <v>0</v>
      </c>
      <c r="J6" s="16" t="str">
        <f aca="false">IF(I6=0,"",I6/E6)</f>
        <v/>
      </c>
      <c r="K6" s="12" t="n">
        <f aca="false">COUNTIFS(Dagschema!$C$2:$C$190,A6,Dagschema!$J$2:$J$190,"x")</f>
        <v>0</v>
      </c>
      <c r="L6" s="12" t="n">
        <f aca="false">COUNTIFS(Dagschema!$C$2:$C$190,A6,Dagschema!$E$2:$E$190,"&lt;&gt;Rust")</f>
        <v>7</v>
      </c>
    </row>
    <row r="7" customFormat="false" ht="15" hidden="false" customHeight="true" outlineLevel="0" collapsed="false">
      <c r="A7" s="12" t="n">
        <v>6</v>
      </c>
      <c r="B7" s="13" t="n">
        <v>46349</v>
      </c>
      <c r="C7" s="14" t="s">
        <v>110</v>
      </c>
      <c r="D7" s="12"/>
      <c r="E7" s="15" t="n">
        <f aca="false">SUMIFS(Dagschema!$H$2:$H$190,Dagschema!$C$2:$C$190,A7)</f>
        <v>22</v>
      </c>
      <c r="F7" s="15" t="n">
        <f aca="false">_xlfn.MAXIFS(Dagschema!$H$2:$H$190,Dagschema!$C$2:$C$190,A7)</f>
        <v>11</v>
      </c>
      <c r="G7" s="12" t="s">
        <v>115</v>
      </c>
      <c r="H7" s="12" t="n">
        <f aca="false">SUMIFS(Dagschema!$I$2:$I$190,Dagschema!$C$2:$C$190,A7)</f>
        <v>120</v>
      </c>
      <c r="I7" s="15" t="n">
        <f aca="false">SUMIFS(Dagschema!$K$2:$K$190,Dagschema!$C$2:$C$190,A7)</f>
        <v>0</v>
      </c>
      <c r="J7" s="16" t="str">
        <f aca="false">IF(I7=0,"",I7/E7)</f>
        <v/>
      </c>
      <c r="K7" s="12" t="n">
        <f aca="false">COUNTIFS(Dagschema!$C$2:$C$190,A7,Dagschema!$J$2:$J$190,"x")</f>
        <v>0</v>
      </c>
      <c r="L7" s="12" t="n">
        <f aca="false">COUNTIFS(Dagschema!$C$2:$C$190,A7,Dagschema!$E$2:$E$190,"&lt;&gt;Rust")</f>
        <v>7</v>
      </c>
    </row>
    <row r="8" customFormat="false" ht="15" hidden="false" customHeight="true" outlineLevel="0" collapsed="false">
      <c r="A8" s="12" t="n">
        <v>7</v>
      </c>
      <c r="B8" s="13" t="n">
        <v>46356</v>
      </c>
      <c r="C8" s="14" t="s">
        <v>110</v>
      </c>
      <c r="D8" s="12"/>
      <c r="E8" s="15" t="n">
        <f aca="false">SUMIFS(Dagschema!$H$2:$H$190,Dagschema!$C$2:$C$190,A8)</f>
        <v>25</v>
      </c>
      <c r="F8" s="15" t="n">
        <f aca="false">_xlfn.MAXIFS(Dagschema!$H$2:$H$190,Dagschema!$C$2:$C$190,A8)</f>
        <v>12</v>
      </c>
      <c r="G8" s="12" t="s">
        <v>116</v>
      </c>
      <c r="H8" s="12" t="n">
        <f aca="false">SUMIFS(Dagschema!$I$2:$I$190,Dagschema!$C$2:$C$190,A8)</f>
        <v>120</v>
      </c>
      <c r="I8" s="15" t="n">
        <f aca="false">SUMIFS(Dagschema!$K$2:$K$190,Dagschema!$C$2:$C$190,A8)</f>
        <v>0</v>
      </c>
      <c r="J8" s="16" t="str">
        <f aca="false">IF(I8=0,"",I8/E8)</f>
        <v/>
      </c>
      <c r="K8" s="12" t="n">
        <f aca="false">COUNTIFS(Dagschema!$C$2:$C$190,A8,Dagschema!$J$2:$J$190,"x")</f>
        <v>0</v>
      </c>
      <c r="L8" s="12" t="n">
        <f aca="false">COUNTIFS(Dagschema!$C$2:$C$190,A8,Dagschema!$E$2:$E$190,"&lt;&gt;Rust")</f>
        <v>7</v>
      </c>
    </row>
    <row r="9" customFormat="false" ht="15" hidden="false" customHeight="true" outlineLevel="0" collapsed="false">
      <c r="A9" s="12" t="n">
        <v>8</v>
      </c>
      <c r="B9" s="13" t="n">
        <v>46363</v>
      </c>
      <c r="C9" s="14" t="s">
        <v>110</v>
      </c>
      <c r="D9" s="12" t="s">
        <v>113</v>
      </c>
      <c r="E9" s="15" t="n">
        <f aca="false">SUMIFS(Dagschema!$H$2:$H$190,Dagschema!$C$2:$C$190,A9)</f>
        <v>19.3</v>
      </c>
      <c r="F9" s="15" t="n">
        <f aca="false">_xlfn.MAXIFS(Dagschema!$H$2:$H$190,Dagschema!$C$2:$C$190,A9)</f>
        <v>9</v>
      </c>
      <c r="G9" s="12" t="s">
        <v>112</v>
      </c>
      <c r="H9" s="12" t="n">
        <f aca="false">SUMIFS(Dagschema!$I$2:$I$190,Dagschema!$C$2:$C$190,A9)</f>
        <v>120</v>
      </c>
      <c r="I9" s="15" t="n">
        <f aca="false">SUMIFS(Dagschema!$K$2:$K$190,Dagschema!$C$2:$C$190,A9)</f>
        <v>0</v>
      </c>
      <c r="J9" s="16" t="str">
        <f aca="false">IF(I9=0,"",I9/E9)</f>
        <v/>
      </c>
      <c r="K9" s="12" t="n">
        <f aca="false">COUNTIFS(Dagschema!$C$2:$C$190,A9,Dagschema!$J$2:$J$190,"x")</f>
        <v>0</v>
      </c>
      <c r="L9" s="12" t="n">
        <f aca="false">COUNTIFS(Dagschema!$C$2:$C$190,A9,Dagschema!$E$2:$E$190,"&lt;&gt;Rust")</f>
        <v>6</v>
      </c>
    </row>
    <row r="10" customFormat="false" ht="15" hidden="false" customHeight="true" outlineLevel="0" collapsed="false">
      <c r="A10" s="12" t="n">
        <v>9</v>
      </c>
      <c r="B10" s="13" t="n">
        <v>46370</v>
      </c>
      <c r="C10" s="14" t="s">
        <v>110</v>
      </c>
      <c r="D10" s="12"/>
      <c r="E10" s="15" t="n">
        <f aca="false">SUMIFS(Dagschema!$H$2:$H$190,Dagschema!$C$2:$C$190,A10)</f>
        <v>25</v>
      </c>
      <c r="F10" s="15" t="n">
        <f aca="false">_xlfn.MAXIFS(Dagschema!$H$2:$H$190,Dagschema!$C$2:$C$190,A10)</f>
        <v>12</v>
      </c>
      <c r="G10" s="12" t="s">
        <v>116</v>
      </c>
      <c r="H10" s="12" t="n">
        <f aca="false">SUMIFS(Dagschema!$I$2:$I$190,Dagschema!$C$2:$C$190,A10)</f>
        <v>120</v>
      </c>
      <c r="I10" s="15" t="n">
        <f aca="false">SUMIFS(Dagschema!$K$2:$K$190,Dagschema!$C$2:$C$190,A10)</f>
        <v>0</v>
      </c>
      <c r="J10" s="16" t="str">
        <f aca="false">IF(I10=0,"",I10/E10)</f>
        <v/>
      </c>
      <c r="K10" s="12" t="n">
        <f aca="false">COUNTIFS(Dagschema!$C$2:$C$190,A10,Dagschema!$J$2:$J$190,"x")</f>
        <v>0</v>
      </c>
      <c r="L10" s="12" t="n">
        <f aca="false">COUNTIFS(Dagschema!$C$2:$C$190,A10,Dagschema!$E$2:$E$190,"&lt;&gt;Rust")</f>
        <v>7</v>
      </c>
    </row>
    <row r="11" customFormat="false" ht="15" hidden="false" customHeight="true" outlineLevel="0" collapsed="false">
      <c r="A11" s="12" t="n">
        <v>10</v>
      </c>
      <c r="B11" s="13" t="n">
        <v>46377</v>
      </c>
      <c r="C11" s="14" t="s">
        <v>110</v>
      </c>
      <c r="D11" s="12"/>
      <c r="E11" s="15" t="n">
        <f aca="false">SUMIFS(Dagschema!$H$2:$H$190,Dagschema!$C$2:$C$190,A11)</f>
        <v>27</v>
      </c>
      <c r="F11" s="15" t="n">
        <f aca="false">_xlfn.MAXIFS(Dagschema!$H$2:$H$190,Dagschema!$C$2:$C$190,A11)</f>
        <v>13</v>
      </c>
      <c r="G11" s="12" t="s">
        <v>116</v>
      </c>
      <c r="H11" s="12" t="n">
        <f aca="false">SUMIFS(Dagschema!$I$2:$I$190,Dagschema!$C$2:$C$190,A11)</f>
        <v>120</v>
      </c>
      <c r="I11" s="15" t="n">
        <f aca="false">SUMIFS(Dagschema!$K$2:$K$190,Dagschema!$C$2:$C$190,A11)</f>
        <v>0</v>
      </c>
      <c r="J11" s="16" t="str">
        <f aca="false">IF(I11=0,"",I11/E11)</f>
        <v/>
      </c>
      <c r="K11" s="12" t="n">
        <f aca="false">COUNTIFS(Dagschema!$C$2:$C$190,A11,Dagschema!$J$2:$J$190,"x")</f>
        <v>0</v>
      </c>
      <c r="L11" s="12" t="n">
        <f aca="false">COUNTIFS(Dagschema!$C$2:$C$190,A11,Dagschema!$E$2:$E$190,"&lt;&gt;Rust")</f>
        <v>7</v>
      </c>
    </row>
    <row r="12" customFormat="false" ht="15" hidden="false" customHeight="true" outlineLevel="0" collapsed="false">
      <c r="A12" s="12" t="n">
        <v>11</v>
      </c>
      <c r="B12" s="13" t="n">
        <v>46384</v>
      </c>
      <c r="C12" s="14" t="s">
        <v>110</v>
      </c>
      <c r="D12" s="12"/>
      <c r="E12" s="15" t="n">
        <f aca="false">SUMIFS(Dagschema!$H$2:$H$190,Dagschema!$C$2:$C$190,A12)</f>
        <v>26.3</v>
      </c>
      <c r="F12" s="15" t="n">
        <f aca="false">_xlfn.MAXIFS(Dagschema!$H$2:$H$190,Dagschema!$C$2:$C$190,A12)</f>
        <v>13</v>
      </c>
      <c r="G12" s="12" t="s">
        <v>117</v>
      </c>
      <c r="H12" s="12" t="n">
        <f aca="false">SUMIFS(Dagschema!$I$2:$I$190,Dagschema!$C$2:$C$190,A12)</f>
        <v>120</v>
      </c>
      <c r="I12" s="15" t="n">
        <f aca="false">SUMIFS(Dagschema!$K$2:$K$190,Dagschema!$C$2:$C$190,A12)</f>
        <v>0</v>
      </c>
      <c r="J12" s="16" t="str">
        <f aca="false">IF(I12=0,"",I12/E12)</f>
        <v/>
      </c>
      <c r="K12" s="12" t="n">
        <f aca="false">COUNTIFS(Dagschema!$C$2:$C$190,A12,Dagschema!$J$2:$J$190,"x")</f>
        <v>0</v>
      </c>
      <c r="L12" s="12" t="n">
        <f aca="false">COUNTIFS(Dagschema!$C$2:$C$190,A12,Dagschema!$E$2:$E$190,"&lt;&gt;Rust")</f>
        <v>7</v>
      </c>
    </row>
    <row r="13" customFormat="false" ht="15" hidden="false" customHeight="true" outlineLevel="0" collapsed="false">
      <c r="A13" s="12" t="n">
        <v>12</v>
      </c>
      <c r="B13" s="13" t="n">
        <v>46391</v>
      </c>
      <c r="C13" s="14" t="s">
        <v>110</v>
      </c>
      <c r="D13" s="12" t="s">
        <v>113</v>
      </c>
      <c r="E13" s="15" t="n">
        <f aca="false">SUMIFS(Dagschema!$H$2:$H$190,Dagschema!$C$2:$C$190,A13)</f>
        <v>21.3</v>
      </c>
      <c r="F13" s="15" t="n">
        <f aca="false">_xlfn.MAXIFS(Dagschema!$H$2:$H$190,Dagschema!$C$2:$C$190,A13)</f>
        <v>10</v>
      </c>
      <c r="G13" s="12" t="s">
        <v>114</v>
      </c>
      <c r="H13" s="12" t="n">
        <f aca="false">SUMIFS(Dagschema!$I$2:$I$190,Dagschema!$C$2:$C$190,A13)</f>
        <v>120</v>
      </c>
      <c r="I13" s="15" t="n">
        <f aca="false">SUMIFS(Dagschema!$K$2:$K$190,Dagschema!$C$2:$C$190,A13)</f>
        <v>0</v>
      </c>
      <c r="J13" s="16" t="str">
        <f aca="false">IF(I13=0,"",I13/E13)</f>
        <v/>
      </c>
      <c r="K13" s="12" t="n">
        <f aca="false">COUNTIFS(Dagschema!$C$2:$C$190,A13,Dagschema!$J$2:$J$190,"x")</f>
        <v>0</v>
      </c>
      <c r="L13" s="12" t="n">
        <f aca="false">COUNTIFS(Dagschema!$C$2:$C$190,A13,Dagschema!$E$2:$E$190,"&lt;&gt;Rust")</f>
        <v>6</v>
      </c>
    </row>
    <row r="14" customFormat="false" ht="15" hidden="false" customHeight="true" outlineLevel="0" collapsed="false">
      <c r="A14" s="12" t="n">
        <v>13</v>
      </c>
      <c r="B14" s="13" t="n">
        <v>46398</v>
      </c>
      <c r="C14" s="17" t="s">
        <v>118</v>
      </c>
      <c r="D14" s="12"/>
      <c r="E14" s="15" t="n">
        <f aca="false">SUMIFS(Dagschema!$H$2:$H$190,Dagschema!$C$2:$C$190,A14)</f>
        <v>28</v>
      </c>
      <c r="F14" s="15" t="n">
        <f aca="false">_xlfn.MAXIFS(Dagschema!$H$2:$H$190,Dagschema!$C$2:$C$190,A14)</f>
        <v>12</v>
      </c>
      <c r="G14" s="12" t="s">
        <v>119</v>
      </c>
      <c r="H14" s="12" t="n">
        <f aca="false">SUMIFS(Dagschema!$I$2:$I$190,Dagschema!$C$2:$C$190,A14)</f>
        <v>120</v>
      </c>
      <c r="I14" s="15" t="n">
        <f aca="false">SUMIFS(Dagschema!$K$2:$K$190,Dagschema!$C$2:$C$190,A14)</f>
        <v>0</v>
      </c>
      <c r="J14" s="16" t="str">
        <f aca="false">IF(I14=0,"",I14/E14)</f>
        <v/>
      </c>
      <c r="K14" s="12" t="n">
        <f aca="false">COUNTIFS(Dagschema!$C$2:$C$190,A14,Dagschema!$J$2:$J$190,"x")</f>
        <v>0</v>
      </c>
      <c r="L14" s="12" t="n">
        <f aca="false">COUNTIFS(Dagschema!$C$2:$C$190,A14,Dagschema!$E$2:$E$190,"&lt;&gt;Rust")</f>
        <v>7</v>
      </c>
    </row>
    <row r="15" customFormat="false" ht="15" hidden="false" customHeight="true" outlineLevel="0" collapsed="false">
      <c r="A15" s="12" t="n">
        <v>14</v>
      </c>
      <c r="B15" s="13" t="n">
        <v>46405</v>
      </c>
      <c r="C15" s="17" t="s">
        <v>118</v>
      </c>
      <c r="D15" s="12"/>
      <c r="E15" s="15" t="n">
        <f aca="false">SUMIFS(Dagschema!$H$2:$H$190,Dagschema!$C$2:$C$190,A15)</f>
        <v>31</v>
      </c>
      <c r="F15" s="15" t="n">
        <f aca="false">_xlfn.MAXIFS(Dagschema!$H$2:$H$190,Dagschema!$C$2:$C$190,A15)</f>
        <v>13</v>
      </c>
      <c r="G15" s="12" t="s">
        <v>120</v>
      </c>
      <c r="H15" s="12" t="n">
        <f aca="false">SUMIFS(Dagschema!$I$2:$I$190,Dagschema!$C$2:$C$190,A15)</f>
        <v>120</v>
      </c>
      <c r="I15" s="15" t="n">
        <f aca="false">SUMIFS(Dagschema!$K$2:$K$190,Dagschema!$C$2:$C$190,A15)</f>
        <v>0</v>
      </c>
      <c r="J15" s="16" t="str">
        <f aca="false">IF(I15=0,"",I15/E15)</f>
        <v/>
      </c>
      <c r="K15" s="12" t="n">
        <f aca="false">COUNTIFS(Dagschema!$C$2:$C$190,A15,Dagschema!$J$2:$J$190,"x")</f>
        <v>0</v>
      </c>
      <c r="L15" s="12" t="n">
        <f aca="false">COUNTIFS(Dagschema!$C$2:$C$190,A15,Dagschema!$E$2:$E$190,"&lt;&gt;Rust")</f>
        <v>7</v>
      </c>
    </row>
    <row r="16" customFormat="false" ht="15" hidden="false" customHeight="true" outlineLevel="0" collapsed="false">
      <c r="A16" s="12" t="n">
        <v>15</v>
      </c>
      <c r="B16" s="13" t="n">
        <v>46412</v>
      </c>
      <c r="C16" s="17" t="s">
        <v>118</v>
      </c>
      <c r="D16" s="12"/>
      <c r="E16" s="15" t="n">
        <f aca="false">SUMIFS(Dagschema!$H$2:$H$190,Dagschema!$C$2:$C$190,A16)</f>
        <v>34</v>
      </c>
      <c r="F16" s="15" t="n">
        <f aca="false">_xlfn.MAXIFS(Dagschema!$H$2:$H$190,Dagschema!$C$2:$C$190,A16)</f>
        <v>14</v>
      </c>
      <c r="G16" s="12" t="s">
        <v>121</v>
      </c>
      <c r="H16" s="12" t="n">
        <f aca="false">SUMIFS(Dagschema!$I$2:$I$190,Dagschema!$C$2:$C$190,A16)</f>
        <v>120</v>
      </c>
      <c r="I16" s="15" t="n">
        <f aca="false">SUMIFS(Dagschema!$K$2:$K$190,Dagschema!$C$2:$C$190,A16)</f>
        <v>0</v>
      </c>
      <c r="J16" s="16" t="str">
        <f aca="false">IF(I16=0,"",I16/E16)</f>
        <v/>
      </c>
      <c r="K16" s="12" t="n">
        <f aca="false">COUNTIFS(Dagschema!$C$2:$C$190,A16,Dagschema!$J$2:$J$190,"x")</f>
        <v>0</v>
      </c>
      <c r="L16" s="12" t="n">
        <f aca="false">COUNTIFS(Dagschema!$C$2:$C$190,A16,Dagschema!$E$2:$E$190,"&lt;&gt;Rust")</f>
        <v>7</v>
      </c>
    </row>
    <row r="17" customFormat="false" ht="15" hidden="false" customHeight="true" outlineLevel="0" collapsed="false">
      <c r="A17" s="12" t="n">
        <v>16</v>
      </c>
      <c r="B17" s="13" t="n">
        <v>46419</v>
      </c>
      <c r="C17" s="17" t="s">
        <v>118</v>
      </c>
      <c r="D17" s="12" t="s">
        <v>113</v>
      </c>
      <c r="E17" s="15" t="n">
        <f aca="false">SUMIFS(Dagschema!$H$2:$H$190,Dagschema!$C$2:$C$190,A17)</f>
        <v>26.3</v>
      </c>
      <c r="F17" s="15" t="n">
        <f aca="false">_xlfn.MAXIFS(Dagschema!$H$2:$H$190,Dagschema!$C$2:$C$190,A17)</f>
        <v>11</v>
      </c>
      <c r="G17" s="12" t="s">
        <v>114</v>
      </c>
      <c r="H17" s="12" t="n">
        <f aca="false">SUMIFS(Dagschema!$I$2:$I$190,Dagschema!$C$2:$C$190,A17)</f>
        <v>120</v>
      </c>
      <c r="I17" s="15" t="n">
        <f aca="false">SUMIFS(Dagschema!$K$2:$K$190,Dagschema!$C$2:$C$190,A17)</f>
        <v>0</v>
      </c>
      <c r="J17" s="16" t="str">
        <f aca="false">IF(I17=0,"",I17/E17)</f>
        <v/>
      </c>
      <c r="K17" s="12" t="n">
        <f aca="false">COUNTIFS(Dagschema!$C$2:$C$190,A17,Dagschema!$J$2:$J$190,"x")</f>
        <v>0</v>
      </c>
      <c r="L17" s="12" t="n">
        <f aca="false">COUNTIFS(Dagschema!$C$2:$C$190,A17,Dagschema!$E$2:$E$190,"&lt;&gt;Rust")</f>
        <v>6</v>
      </c>
    </row>
    <row r="18" customFormat="false" ht="15" hidden="false" customHeight="true" outlineLevel="0" collapsed="false">
      <c r="A18" s="12" t="n">
        <v>17</v>
      </c>
      <c r="B18" s="13" t="n">
        <v>46426</v>
      </c>
      <c r="C18" s="17" t="s">
        <v>118</v>
      </c>
      <c r="D18" s="12"/>
      <c r="E18" s="15" t="n">
        <f aca="false">SUMIFS(Dagschema!$H$2:$H$190,Dagschema!$C$2:$C$190,A18)</f>
        <v>37</v>
      </c>
      <c r="F18" s="15" t="n">
        <f aca="false">_xlfn.MAXIFS(Dagschema!$H$2:$H$190,Dagschema!$C$2:$C$190,A18)</f>
        <v>15</v>
      </c>
      <c r="G18" s="12" t="s">
        <v>122</v>
      </c>
      <c r="H18" s="12" t="n">
        <f aca="false">SUMIFS(Dagschema!$I$2:$I$190,Dagschema!$C$2:$C$190,A18)</f>
        <v>120</v>
      </c>
      <c r="I18" s="15" t="n">
        <f aca="false">SUMIFS(Dagschema!$K$2:$K$190,Dagschema!$C$2:$C$190,A18)</f>
        <v>0</v>
      </c>
      <c r="J18" s="16" t="str">
        <f aca="false">IF(I18=0,"",I18/E18)</f>
        <v/>
      </c>
      <c r="K18" s="12" t="n">
        <f aca="false">COUNTIFS(Dagschema!$C$2:$C$190,A18,Dagschema!$J$2:$J$190,"x")</f>
        <v>0</v>
      </c>
      <c r="L18" s="12" t="n">
        <f aca="false">COUNTIFS(Dagschema!$C$2:$C$190,A18,Dagschema!$E$2:$E$190,"&lt;&gt;Rust")</f>
        <v>7</v>
      </c>
    </row>
    <row r="19" customFormat="false" ht="15" hidden="false" customHeight="true" outlineLevel="0" collapsed="false">
      <c r="A19" s="12" t="n">
        <v>18</v>
      </c>
      <c r="B19" s="13" t="n">
        <v>46433</v>
      </c>
      <c r="C19" s="17" t="s">
        <v>118</v>
      </c>
      <c r="D19" s="12"/>
      <c r="E19" s="15" t="n">
        <f aca="false">SUMIFS(Dagschema!$H$2:$H$190,Dagschema!$C$2:$C$190,A19)</f>
        <v>38</v>
      </c>
      <c r="F19" s="15" t="n">
        <f aca="false">_xlfn.MAXIFS(Dagschema!$H$2:$H$190,Dagschema!$C$2:$C$190,A19)</f>
        <v>15</v>
      </c>
      <c r="G19" s="12" t="s">
        <v>122</v>
      </c>
      <c r="H19" s="12" t="n">
        <f aca="false">SUMIFS(Dagschema!$I$2:$I$190,Dagschema!$C$2:$C$190,A19)</f>
        <v>120</v>
      </c>
      <c r="I19" s="15" t="n">
        <f aca="false">SUMIFS(Dagschema!$K$2:$K$190,Dagschema!$C$2:$C$190,A19)</f>
        <v>0</v>
      </c>
      <c r="J19" s="16" t="str">
        <f aca="false">IF(I19=0,"",I19/E19)</f>
        <v/>
      </c>
      <c r="K19" s="12" t="n">
        <f aca="false">COUNTIFS(Dagschema!$C$2:$C$190,A19,Dagschema!$J$2:$J$190,"x")</f>
        <v>0</v>
      </c>
      <c r="L19" s="12" t="n">
        <f aca="false">COUNTIFS(Dagschema!$C$2:$C$190,A19,Dagschema!$E$2:$E$190,"&lt;&gt;Rust")</f>
        <v>7</v>
      </c>
    </row>
    <row r="20" customFormat="false" ht="15" hidden="false" customHeight="true" outlineLevel="0" collapsed="false">
      <c r="A20" s="12" t="n">
        <v>19</v>
      </c>
      <c r="B20" s="13" t="n">
        <v>46440</v>
      </c>
      <c r="C20" s="18" t="s">
        <v>123</v>
      </c>
      <c r="D20" s="12"/>
      <c r="E20" s="15" t="n">
        <f aca="false">SUMIFS(Dagschema!$H$2:$H$190,Dagschema!$C$2:$C$190,A20)</f>
        <v>37.9</v>
      </c>
      <c r="F20" s="15" t="n">
        <f aca="false">_xlfn.MAXIFS(Dagschema!$H$2:$H$190,Dagschema!$C$2:$C$190,A20)</f>
        <v>15</v>
      </c>
      <c r="G20" s="12" t="s">
        <v>124</v>
      </c>
      <c r="H20" s="12" t="n">
        <f aca="false">SUMIFS(Dagschema!$I$2:$I$190,Dagschema!$C$2:$C$190,A20)</f>
        <v>120</v>
      </c>
      <c r="I20" s="15" t="n">
        <f aca="false">SUMIFS(Dagschema!$K$2:$K$190,Dagschema!$C$2:$C$190,A20)</f>
        <v>0</v>
      </c>
      <c r="J20" s="16" t="str">
        <f aca="false">IF(I20=0,"",I20/E20)</f>
        <v/>
      </c>
      <c r="K20" s="12" t="n">
        <f aca="false">COUNTIFS(Dagschema!$C$2:$C$190,A20,Dagschema!$J$2:$J$190,"x")</f>
        <v>0</v>
      </c>
      <c r="L20" s="12" t="n">
        <f aca="false">COUNTIFS(Dagschema!$C$2:$C$190,A20,Dagschema!$E$2:$E$190,"&lt;&gt;Rust")</f>
        <v>7</v>
      </c>
    </row>
    <row r="21" customFormat="false" ht="15" hidden="false" customHeight="true" outlineLevel="0" collapsed="false">
      <c r="A21" s="12" t="n">
        <v>20</v>
      </c>
      <c r="B21" s="13" t="n">
        <v>46447</v>
      </c>
      <c r="C21" s="18" t="s">
        <v>123</v>
      </c>
      <c r="D21" s="12" t="s">
        <v>113</v>
      </c>
      <c r="E21" s="15" t="n">
        <f aca="false">SUMIFS(Dagschema!$H$2:$H$190,Dagschema!$C$2:$C$190,A21)</f>
        <v>29</v>
      </c>
      <c r="F21" s="15" t="n">
        <f aca="false">_xlfn.MAXIFS(Dagschema!$H$2:$H$190,Dagschema!$C$2:$C$190,A21)</f>
        <v>12</v>
      </c>
      <c r="G21" s="12" t="s">
        <v>125</v>
      </c>
      <c r="H21" s="12" t="n">
        <f aca="false">SUMIFS(Dagschema!$I$2:$I$190,Dagschema!$C$2:$C$190,A21)</f>
        <v>120</v>
      </c>
      <c r="I21" s="15" t="n">
        <f aca="false">SUMIFS(Dagschema!$K$2:$K$190,Dagschema!$C$2:$C$190,A21)</f>
        <v>0</v>
      </c>
      <c r="J21" s="16" t="str">
        <f aca="false">IF(I21=0,"",I21/E21)</f>
        <v/>
      </c>
      <c r="K21" s="12" t="n">
        <f aca="false">COUNTIFS(Dagschema!$C$2:$C$190,A21,Dagschema!$J$2:$J$190,"x")</f>
        <v>0</v>
      </c>
      <c r="L21" s="12" t="n">
        <f aca="false">COUNTIFS(Dagschema!$C$2:$C$190,A21,Dagschema!$E$2:$E$190,"&lt;&gt;Rust")</f>
        <v>6</v>
      </c>
    </row>
    <row r="22" customFormat="false" ht="15" hidden="false" customHeight="true" outlineLevel="0" collapsed="false">
      <c r="A22" s="12" t="n">
        <v>21</v>
      </c>
      <c r="B22" s="13" t="n">
        <v>46454</v>
      </c>
      <c r="C22" s="18" t="s">
        <v>123</v>
      </c>
      <c r="D22" s="12"/>
      <c r="E22" s="15" t="n">
        <f aca="false">SUMIFS(Dagschema!$H$2:$H$190,Dagschema!$C$2:$C$190,A22)</f>
        <v>41.2</v>
      </c>
      <c r="F22" s="15" t="n">
        <f aca="false">_xlfn.MAXIFS(Dagschema!$H$2:$H$190,Dagschema!$C$2:$C$190,A22)</f>
        <v>16</v>
      </c>
      <c r="G22" s="12" t="s">
        <v>126</v>
      </c>
      <c r="H22" s="12" t="n">
        <f aca="false">SUMIFS(Dagschema!$I$2:$I$190,Dagschema!$C$2:$C$190,A22)</f>
        <v>120</v>
      </c>
      <c r="I22" s="15" t="n">
        <f aca="false">SUMIFS(Dagschema!$K$2:$K$190,Dagschema!$C$2:$C$190,A22)</f>
        <v>0</v>
      </c>
      <c r="J22" s="16" t="str">
        <f aca="false">IF(I22=0,"",I22/E22)</f>
        <v/>
      </c>
      <c r="K22" s="12" t="n">
        <f aca="false">COUNTIFS(Dagschema!$C$2:$C$190,A22,Dagschema!$J$2:$J$190,"x")</f>
        <v>0</v>
      </c>
      <c r="L22" s="12" t="n">
        <f aca="false">COUNTIFS(Dagschema!$C$2:$C$190,A22,Dagschema!$E$2:$E$190,"&lt;&gt;Rust")</f>
        <v>7</v>
      </c>
    </row>
    <row r="23" customFormat="false" ht="15" hidden="false" customHeight="true" outlineLevel="0" collapsed="false">
      <c r="A23" s="12" t="n">
        <v>22</v>
      </c>
      <c r="B23" s="13" t="n">
        <v>46461</v>
      </c>
      <c r="C23" s="18" t="s">
        <v>123</v>
      </c>
      <c r="D23" s="12"/>
      <c r="E23" s="15" t="n">
        <f aca="false">SUMIFS(Dagschema!$H$2:$H$190,Dagschema!$C$2:$C$190,A23)</f>
        <v>42.3</v>
      </c>
      <c r="F23" s="15" t="n">
        <f aca="false">_xlfn.MAXIFS(Dagschema!$H$2:$H$190,Dagschema!$C$2:$C$190,A23)</f>
        <v>17</v>
      </c>
      <c r="G23" s="12" t="s">
        <v>127</v>
      </c>
      <c r="H23" s="12" t="n">
        <f aca="false">SUMIFS(Dagschema!$I$2:$I$190,Dagschema!$C$2:$C$190,A23)</f>
        <v>120</v>
      </c>
      <c r="I23" s="15" t="n">
        <f aca="false">SUMIFS(Dagschema!$K$2:$K$190,Dagschema!$C$2:$C$190,A23)</f>
        <v>0</v>
      </c>
      <c r="J23" s="16" t="str">
        <f aca="false">IF(I23=0,"",I23/E23)</f>
        <v/>
      </c>
      <c r="K23" s="12" t="n">
        <f aca="false">COUNTIFS(Dagschema!$C$2:$C$190,A23,Dagschema!$J$2:$J$190,"x")</f>
        <v>0</v>
      </c>
      <c r="L23" s="12" t="n">
        <f aca="false">COUNTIFS(Dagschema!$C$2:$C$190,A23,Dagschema!$E$2:$E$190,"&lt;&gt;Rust")</f>
        <v>7</v>
      </c>
    </row>
    <row r="24" customFormat="false" ht="15" hidden="false" customHeight="true" outlineLevel="0" collapsed="false">
      <c r="A24" s="12" t="n">
        <v>23</v>
      </c>
      <c r="B24" s="13" t="n">
        <v>46468</v>
      </c>
      <c r="C24" s="18" t="s">
        <v>123</v>
      </c>
      <c r="D24" s="12"/>
      <c r="E24" s="15" t="n">
        <f aca="false">SUMIFS(Dagschema!$H$2:$H$190,Dagschema!$C$2:$C$190,A24)</f>
        <v>43.7</v>
      </c>
      <c r="F24" s="15" t="n">
        <f aca="false">_xlfn.MAXIFS(Dagschema!$H$2:$H$190,Dagschema!$C$2:$C$190,A24)</f>
        <v>18</v>
      </c>
      <c r="G24" s="12" t="s">
        <v>128</v>
      </c>
      <c r="H24" s="12" t="n">
        <f aca="false">SUMIFS(Dagschema!$I$2:$I$190,Dagschema!$C$2:$C$190,A24)</f>
        <v>120</v>
      </c>
      <c r="I24" s="15" t="n">
        <f aca="false">SUMIFS(Dagschema!$K$2:$K$190,Dagschema!$C$2:$C$190,A24)</f>
        <v>0</v>
      </c>
      <c r="J24" s="16" t="str">
        <f aca="false">IF(I24=0,"",I24/E24)</f>
        <v/>
      </c>
      <c r="K24" s="12" t="n">
        <f aca="false">COUNTIFS(Dagschema!$C$2:$C$190,A24,Dagschema!$J$2:$J$190,"x")</f>
        <v>0</v>
      </c>
      <c r="L24" s="12" t="n">
        <f aca="false">COUNTIFS(Dagschema!$C$2:$C$190,A24,Dagschema!$E$2:$E$190,"&lt;&gt;Rust")</f>
        <v>7</v>
      </c>
    </row>
    <row r="25" customFormat="false" ht="15" hidden="false" customHeight="true" outlineLevel="0" collapsed="false">
      <c r="A25" s="12" t="n">
        <v>24</v>
      </c>
      <c r="B25" s="13" t="n">
        <v>46475</v>
      </c>
      <c r="C25" s="18" t="s">
        <v>123</v>
      </c>
      <c r="D25" s="12" t="s">
        <v>113</v>
      </c>
      <c r="E25" s="15" t="n">
        <f aca="false">SUMIFS(Dagschema!$H$2:$H$190,Dagschema!$C$2:$C$190,A25)</f>
        <v>28.8</v>
      </c>
      <c r="F25" s="15" t="n">
        <f aca="false">_xlfn.MAXIFS(Dagschema!$H$2:$H$190,Dagschema!$C$2:$C$190,A25)</f>
        <v>13.5</v>
      </c>
      <c r="G25" s="12" t="s">
        <v>114</v>
      </c>
      <c r="H25" s="12" t="n">
        <f aca="false">SUMIFS(Dagschema!$I$2:$I$190,Dagschema!$C$2:$C$190,A25)</f>
        <v>120</v>
      </c>
      <c r="I25" s="15" t="n">
        <f aca="false">SUMIFS(Dagschema!$K$2:$K$190,Dagschema!$C$2:$C$190,A25)</f>
        <v>0</v>
      </c>
      <c r="J25" s="16" t="str">
        <f aca="false">IF(I25=0,"",I25/E25)</f>
        <v/>
      </c>
      <c r="K25" s="12" t="n">
        <f aca="false">COUNTIFS(Dagschema!$C$2:$C$190,A25,Dagschema!$J$2:$J$190,"x")</f>
        <v>0</v>
      </c>
      <c r="L25" s="12" t="n">
        <f aca="false">COUNTIFS(Dagschema!$C$2:$C$190,A25,Dagschema!$E$2:$E$190,"&lt;&gt;Rust")</f>
        <v>6</v>
      </c>
    </row>
    <row r="26" customFormat="false" ht="15" hidden="false" customHeight="true" outlineLevel="0" collapsed="false">
      <c r="A26" s="12" t="n">
        <v>25</v>
      </c>
      <c r="B26" s="13" t="n">
        <v>46482</v>
      </c>
      <c r="C26" s="18" t="s">
        <v>123</v>
      </c>
      <c r="D26" s="12"/>
      <c r="E26" s="15" t="n">
        <f aca="false">SUMIFS(Dagschema!$H$2:$H$190,Dagschema!$C$2:$C$190,A26)</f>
        <v>41.7</v>
      </c>
      <c r="F26" s="15" t="n">
        <f aca="false">_xlfn.MAXIFS(Dagschema!$H$2:$H$190,Dagschema!$C$2:$C$190,A26)</f>
        <v>16</v>
      </c>
      <c r="G26" s="12" t="s">
        <v>129</v>
      </c>
      <c r="H26" s="12" t="n">
        <f aca="false">SUMIFS(Dagschema!$I$2:$I$190,Dagschema!$C$2:$C$190,A26)</f>
        <v>120</v>
      </c>
      <c r="I26" s="15" t="n">
        <f aca="false">SUMIFS(Dagschema!$K$2:$K$190,Dagschema!$C$2:$C$190,A26)</f>
        <v>0</v>
      </c>
      <c r="J26" s="16" t="str">
        <f aca="false">IF(I26=0,"",I26/E26)</f>
        <v/>
      </c>
      <c r="K26" s="12" t="n">
        <f aca="false">COUNTIFS(Dagschema!$C$2:$C$190,A26,Dagschema!$J$2:$J$190,"x")</f>
        <v>0</v>
      </c>
      <c r="L26" s="12" t="n">
        <f aca="false">COUNTIFS(Dagschema!$C$2:$C$190,A26,Dagschema!$E$2:$E$190,"&lt;&gt;Rust")</f>
        <v>7</v>
      </c>
    </row>
    <row r="27" customFormat="false" ht="15" hidden="false" customHeight="true" outlineLevel="0" collapsed="false">
      <c r="A27" s="12" t="n">
        <v>26</v>
      </c>
      <c r="B27" s="13" t="n">
        <v>46489</v>
      </c>
      <c r="C27" s="19" t="s">
        <v>130</v>
      </c>
      <c r="D27" s="12"/>
      <c r="E27" s="15" t="n">
        <f aca="false">SUMIFS(Dagschema!$H$2:$H$190,Dagschema!$C$2:$C$190,A27)</f>
        <v>32.7</v>
      </c>
      <c r="F27" s="15" t="n">
        <f aca="false">_xlfn.MAXIFS(Dagschema!$H$2:$H$190,Dagschema!$C$2:$C$190,A27)</f>
        <v>12</v>
      </c>
      <c r="G27" s="12" t="s">
        <v>131</v>
      </c>
      <c r="H27" s="12" t="n">
        <f aca="false">SUMIFS(Dagschema!$I$2:$I$190,Dagschema!$C$2:$C$190,A27)</f>
        <v>120</v>
      </c>
      <c r="I27" s="15" t="n">
        <f aca="false">SUMIFS(Dagschema!$K$2:$K$190,Dagschema!$C$2:$C$190,A27)</f>
        <v>0</v>
      </c>
      <c r="J27" s="16" t="str">
        <f aca="false">IF(I27=0,"",I27/E27)</f>
        <v/>
      </c>
      <c r="K27" s="12" t="n">
        <f aca="false">COUNTIFS(Dagschema!$C$2:$C$190,A27,Dagschema!$J$2:$J$190,"x")</f>
        <v>0</v>
      </c>
      <c r="L27" s="12" t="n">
        <f aca="false">COUNTIFS(Dagschema!$C$2:$C$190,A27,Dagschema!$E$2:$E$190,"&lt;&gt;Rust")</f>
        <v>6</v>
      </c>
    </row>
    <row r="28" customFormat="false" ht="15" hidden="false" customHeight="true" outlineLevel="0" collapsed="false">
      <c r="A28" s="12" t="n">
        <v>27</v>
      </c>
      <c r="B28" s="13" t="n">
        <v>46496</v>
      </c>
      <c r="C28" s="19" t="s">
        <v>130</v>
      </c>
      <c r="D28" s="12"/>
      <c r="E28" s="15" t="n">
        <f aca="false">SUMIFS(Dagschema!$H$2:$H$190,Dagschema!$C$2:$C$190,A28)</f>
        <v>31.4</v>
      </c>
      <c r="F28" s="15" t="n">
        <f aca="false">_xlfn.MAXIFS(Dagschema!$H$2:$H$190,Dagschema!$C$2:$C$190,A28)</f>
        <v>16.1</v>
      </c>
      <c r="G28" s="12" t="s">
        <v>132</v>
      </c>
      <c r="H28" s="12" t="n">
        <f aca="false">SUMIFS(Dagschema!$I$2:$I$190,Dagschema!$C$2:$C$190,A28)</f>
        <v>60</v>
      </c>
      <c r="I28" s="15" t="n">
        <f aca="false">SUMIFS(Dagschema!$K$2:$K$190,Dagschema!$C$2:$C$190,A28)</f>
        <v>0</v>
      </c>
      <c r="J28" s="16" t="str">
        <f aca="false">IF(I28=0,"",I28/E28)</f>
        <v/>
      </c>
      <c r="K28" s="12" t="n">
        <f aca="false">COUNTIFS(Dagschema!$C$2:$C$190,A28,Dagschema!$J$2:$J$190,"x")</f>
        <v>0</v>
      </c>
      <c r="L28" s="12" t="n">
        <f aca="false">COUNTIFS(Dagschema!$C$2:$C$190,A28,Dagschema!$E$2:$E$190,"&lt;&gt;Rust")</f>
        <v>5</v>
      </c>
    </row>
    <row r="29" customFormat="false" ht="15" hidden="false" customHeight="true" outlineLevel="0" collapsed="false">
      <c r="A29" s="20" t="s">
        <v>133</v>
      </c>
      <c r="E29" s="21" t="n">
        <f aca="false">SUM(E2:E28)</f>
        <v>776.8</v>
      </c>
      <c r="H29" s="21" t="n">
        <f aca="false">SUM(H2:H28)</f>
        <v>3180</v>
      </c>
      <c r="I29" s="21" t="n">
        <f aca="false">SUM(I2:I28)</f>
        <v>0</v>
      </c>
      <c r="K29" s="21" t="n">
        <f aca="false">SUM(K2:K28)</f>
        <v>0</v>
      </c>
      <c r="L29" s="21" t="n">
        <f aca="false">SUM(L2:L28)</f>
        <v>180</v>
      </c>
    </row>
    <row r="31" customFormat="false" ht="15" hidden="false" customHeight="true" outlineLevel="0" collapsed="false">
      <c r="A31" s="3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7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7" min="7" style="1" width="80"/>
    <col collapsed="false" customWidth="true" hidden="false" outlineLevel="0" max="9" min="8" style="1" width="11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30"/>
  </cols>
  <sheetData>
    <row r="1" customFormat="false" ht="51.75" hidden="false" customHeight="true" outlineLevel="0" collapsed="false">
      <c r="A1" s="7" t="s">
        <v>135</v>
      </c>
      <c r="B1" s="7" t="s">
        <v>12</v>
      </c>
      <c r="C1" s="7" t="s">
        <v>98</v>
      </c>
      <c r="D1" s="7" t="s">
        <v>100</v>
      </c>
      <c r="E1" s="7" t="s">
        <v>136</v>
      </c>
      <c r="F1" s="7" t="s">
        <v>137</v>
      </c>
      <c r="G1" s="7" t="s">
        <v>138</v>
      </c>
      <c r="H1" s="7" t="s">
        <v>139</v>
      </c>
      <c r="I1" s="7" t="s">
        <v>140</v>
      </c>
      <c r="J1" s="7" t="s">
        <v>141</v>
      </c>
      <c r="K1" s="7" t="s">
        <v>142</v>
      </c>
      <c r="L1" s="7" t="s">
        <v>143</v>
      </c>
    </row>
    <row r="2" customFormat="false" ht="15" hidden="false" customHeight="true" outlineLevel="0" collapsed="false">
      <c r="A2" s="22" t="n">
        <v>46314</v>
      </c>
      <c r="B2" s="23" t="s">
        <v>144</v>
      </c>
      <c r="C2" s="23" t="n">
        <v>1</v>
      </c>
      <c r="D2" s="24" t="s">
        <v>110</v>
      </c>
      <c r="E2" s="23" t="s">
        <v>145</v>
      </c>
      <c r="F2" s="23" t="s">
        <v>111</v>
      </c>
      <c r="G2" s="8" t="s">
        <v>146</v>
      </c>
      <c r="H2" s="25" t="n">
        <v>4</v>
      </c>
      <c r="I2" s="23"/>
      <c r="J2" s="26"/>
      <c r="K2" s="27"/>
      <c r="L2" s="26"/>
    </row>
    <row r="3" customFormat="false" ht="26.25" hidden="false" customHeight="true" outlineLevel="0" collapsed="false">
      <c r="A3" s="22" t="n">
        <v>46315</v>
      </c>
      <c r="B3" s="23" t="s">
        <v>147</v>
      </c>
      <c r="C3" s="23" t="n">
        <v>1</v>
      </c>
      <c r="D3" s="24" t="s">
        <v>110</v>
      </c>
      <c r="E3" s="23" t="s">
        <v>148</v>
      </c>
      <c r="F3" s="23" t="s">
        <v>149</v>
      </c>
      <c r="G3" s="8" t="s">
        <v>150</v>
      </c>
      <c r="H3" s="25"/>
      <c r="I3" s="23" t="n">
        <v>60</v>
      </c>
      <c r="J3" s="26"/>
      <c r="K3" s="27"/>
      <c r="L3" s="26"/>
    </row>
    <row r="4" customFormat="false" ht="15" hidden="false" customHeight="true" outlineLevel="0" collapsed="false">
      <c r="A4" s="22" t="n">
        <v>46316</v>
      </c>
      <c r="B4" s="23" t="s">
        <v>151</v>
      </c>
      <c r="C4" s="23" t="n">
        <v>1</v>
      </c>
      <c r="D4" s="24" t="s">
        <v>110</v>
      </c>
      <c r="E4" s="23" t="s">
        <v>145</v>
      </c>
      <c r="F4" s="23" t="s">
        <v>111</v>
      </c>
      <c r="G4" s="8" t="s">
        <v>146</v>
      </c>
      <c r="H4" s="25" t="n">
        <v>4</v>
      </c>
      <c r="I4" s="23"/>
      <c r="J4" s="26"/>
      <c r="K4" s="27"/>
      <c r="L4" s="26"/>
    </row>
    <row r="5" customFormat="false" ht="15" hidden="false" customHeight="true" outlineLevel="0" collapsed="false">
      <c r="A5" s="22" t="n">
        <v>46317</v>
      </c>
      <c r="B5" s="23" t="s">
        <v>152</v>
      </c>
      <c r="C5" s="23" t="n">
        <v>1</v>
      </c>
      <c r="D5" s="24" t="s">
        <v>110</v>
      </c>
      <c r="E5" s="23" t="s">
        <v>27</v>
      </c>
      <c r="F5" s="23" t="s">
        <v>149</v>
      </c>
      <c r="G5" s="8" t="s">
        <v>153</v>
      </c>
      <c r="H5" s="25"/>
      <c r="I5" s="23"/>
      <c r="J5" s="26"/>
      <c r="K5" s="27"/>
      <c r="L5" s="26"/>
    </row>
    <row r="6" customFormat="false" ht="26.25" hidden="false" customHeight="true" outlineLevel="0" collapsed="false">
      <c r="A6" s="22" t="n">
        <v>46318</v>
      </c>
      <c r="B6" s="23" t="s">
        <v>154</v>
      </c>
      <c r="C6" s="23" t="n">
        <v>1</v>
      </c>
      <c r="D6" s="24" t="s">
        <v>110</v>
      </c>
      <c r="E6" s="23" t="s">
        <v>148</v>
      </c>
      <c r="F6" s="23" t="s">
        <v>149</v>
      </c>
      <c r="G6" s="8" t="s">
        <v>150</v>
      </c>
      <c r="H6" s="25"/>
      <c r="I6" s="23" t="n">
        <v>60</v>
      </c>
      <c r="J6" s="26"/>
      <c r="K6" s="27"/>
      <c r="L6" s="26"/>
    </row>
    <row r="7" customFormat="false" ht="15" hidden="false" customHeight="true" outlineLevel="0" collapsed="false">
      <c r="A7" s="22" t="n">
        <v>46319</v>
      </c>
      <c r="B7" s="23" t="s">
        <v>155</v>
      </c>
      <c r="C7" s="23" t="n">
        <v>1</v>
      </c>
      <c r="D7" s="24" t="s">
        <v>110</v>
      </c>
      <c r="E7" s="23" t="s">
        <v>27</v>
      </c>
      <c r="F7" s="23" t="s">
        <v>149</v>
      </c>
      <c r="G7" s="8" t="s">
        <v>156</v>
      </c>
      <c r="H7" s="25"/>
      <c r="I7" s="23"/>
      <c r="J7" s="26"/>
      <c r="K7" s="27"/>
      <c r="L7" s="26"/>
    </row>
    <row r="8" customFormat="false" ht="15" hidden="false" customHeight="true" outlineLevel="0" collapsed="false">
      <c r="A8" s="28" t="n">
        <v>46320</v>
      </c>
      <c r="B8" s="29" t="s">
        <v>157</v>
      </c>
      <c r="C8" s="29" t="n">
        <v>1</v>
      </c>
      <c r="D8" s="30" t="s">
        <v>110</v>
      </c>
      <c r="E8" s="29" t="s">
        <v>145</v>
      </c>
      <c r="F8" s="29" t="s">
        <v>158</v>
      </c>
      <c r="G8" s="31" t="s">
        <v>159</v>
      </c>
      <c r="H8" s="32" t="n">
        <v>7</v>
      </c>
      <c r="I8" s="29"/>
      <c r="J8" s="33"/>
      <c r="K8" s="34"/>
      <c r="L8" s="33"/>
    </row>
    <row r="9" customFormat="false" ht="15" hidden="false" customHeight="true" outlineLevel="0" collapsed="false">
      <c r="A9" s="22" t="n">
        <v>46321</v>
      </c>
      <c r="B9" s="23" t="s">
        <v>144</v>
      </c>
      <c r="C9" s="23" t="n">
        <v>2</v>
      </c>
      <c r="D9" s="24" t="s">
        <v>110</v>
      </c>
      <c r="E9" s="23" t="s">
        <v>145</v>
      </c>
      <c r="F9" s="23" t="s">
        <v>111</v>
      </c>
      <c r="G9" s="8" t="s">
        <v>146</v>
      </c>
      <c r="H9" s="25" t="n">
        <v>4</v>
      </c>
      <c r="I9" s="23"/>
      <c r="J9" s="26"/>
      <c r="K9" s="27"/>
      <c r="L9" s="26"/>
    </row>
    <row r="10" customFormat="false" ht="26.25" hidden="false" customHeight="true" outlineLevel="0" collapsed="false">
      <c r="A10" s="22" t="n">
        <v>46322</v>
      </c>
      <c r="B10" s="23" t="s">
        <v>147</v>
      </c>
      <c r="C10" s="23" t="n">
        <v>2</v>
      </c>
      <c r="D10" s="24" t="s">
        <v>110</v>
      </c>
      <c r="E10" s="23" t="s">
        <v>148</v>
      </c>
      <c r="F10" s="23" t="s">
        <v>149</v>
      </c>
      <c r="G10" s="8" t="s">
        <v>150</v>
      </c>
      <c r="H10" s="25"/>
      <c r="I10" s="23" t="n">
        <v>60</v>
      </c>
      <c r="J10" s="26"/>
      <c r="K10" s="27"/>
      <c r="L10" s="26"/>
    </row>
    <row r="11" customFormat="false" ht="15" hidden="false" customHeight="true" outlineLevel="0" collapsed="false">
      <c r="A11" s="22" t="n">
        <v>46323</v>
      </c>
      <c r="B11" s="23" t="s">
        <v>151</v>
      </c>
      <c r="C11" s="23" t="n">
        <v>2</v>
      </c>
      <c r="D11" s="24" t="s">
        <v>110</v>
      </c>
      <c r="E11" s="23" t="s">
        <v>145</v>
      </c>
      <c r="F11" s="23" t="s">
        <v>112</v>
      </c>
      <c r="G11" s="8" t="s">
        <v>160</v>
      </c>
      <c r="H11" s="25" t="n">
        <v>5.3</v>
      </c>
      <c r="I11" s="23"/>
      <c r="J11" s="26"/>
      <c r="K11" s="27"/>
      <c r="L11" s="26"/>
    </row>
    <row r="12" customFormat="false" ht="15" hidden="false" customHeight="true" outlineLevel="0" collapsed="false">
      <c r="A12" s="22" t="n">
        <v>46324</v>
      </c>
      <c r="B12" s="23" t="s">
        <v>152</v>
      </c>
      <c r="C12" s="23" t="n">
        <v>2</v>
      </c>
      <c r="D12" s="24" t="s">
        <v>110</v>
      </c>
      <c r="E12" s="23" t="s">
        <v>27</v>
      </c>
      <c r="F12" s="23" t="s">
        <v>149</v>
      </c>
      <c r="G12" s="8" t="s">
        <v>153</v>
      </c>
      <c r="H12" s="25"/>
      <c r="I12" s="23"/>
      <c r="J12" s="26"/>
      <c r="K12" s="27"/>
      <c r="L12" s="26"/>
    </row>
    <row r="13" customFormat="false" ht="26.25" hidden="false" customHeight="true" outlineLevel="0" collapsed="false">
      <c r="A13" s="22" t="n">
        <v>46325</v>
      </c>
      <c r="B13" s="23" t="s">
        <v>154</v>
      </c>
      <c r="C13" s="23" t="n">
        <v>2</v>
      </c>
      <c r="D13" s="24" t="s">
        <v>110</v>
      </c>
      <c r="E13" s="23" t="s">
        <v>148</v>
      </c>
      <c r="F13" s="23" t="s">
        <v>149</v>
      </c>
      <c r="G13" s="8" t="s">
        <v>150</v>
      </c>
      <c r="H13" s="25"/>
      <c r="I13" s="23" t="n">
        <v>60</v>
      </c>
      <c r="J13" s="26"/>
      <c r="K13" s="27"/>
      <c r="L13" s="26"/>
    </row>
    <row r="14" customFormat="false" ht="15" hidden="false" customHeight="true" outlineLevel="0" collapsed="false">
      <c r="A14" s="22" t="n">
        <v>46326</v>
      </c>
      <c r="B14" s="23" t="s">
        <v>155</v>
      </c>
      <c r="C14" s="23" t="n">
        <v>2</v>
      </c>
      <c r="D14" s="24" t="s">
        <v>110</v>
      </c>
      <c r="E14" s="23" t="s">
        <v>27</v>
      </c>
      <c r="F14" s="23" t="s">
        <v>149</v>
      </c>
      <c r="G14" s="8" t="s">
        <v>156</v>
      </c>
      <c r="H14" s="25"/>
      <c r="I14" s="23"/>
      <c r="J14" s="26"/>
      <c r="K14" s="27"/>
      <c r="L14" s="26"/>
    </row>
    <row r="15" customFormat="false" ht="15" hidden="false" customHeight="true" outlineLevel="0" collapsed="false">
      <c r="A15" s="28" t="n">
        <v>46327</v>
      </c>
      <c r="B15" s="29" t="s">
        <v>157</v>
      </c>
      <c r="C15" s="29" t="n">
        <v>2</v>
      </c>
      <c r="D15" s="30" t="s">
        <v>110</v>
      </c>
      <c r="E15" s="29" t="s">
        <v>145</v>
      </c>
      <c r="F15" s="29" t="s">
        <v>161</v>
      </c>
      <c r="G15" s="31" t="s">
        <v>162</v>
      </c>
      <c r="H15" s="32" t="n">
        <v>8</v>
      </c>
      <c r="I15" s="29"/>
      <c r="J15" s="33"/>
      <c r="K15" s="34"/>
      <c r="L15" s="33"/>
    </row>
    <row r="16" customFormat="false" ht="15" hidden="false" customHeight="true" outlineLevel="0" collapsed="false">
      <c r="A16" s="22" t="n">
        <v>46328</v>
      </c>
      <c r="B16" s="23" t="s">
        <v>144</v>
      </c>
      <c r="C16" s="23" t="n">
        <v>3</v>
      </c>
      <c r="D16" s="24" t="s">
        <v>110</v>
      </c>
      <c r="E16" s="23" t="s">
        <v>145</v>
      </c>
      <c r="F16" s="23" t="s">
        <v>163</v>
      </c>
      <c r="G16" s="8" t="s">
        <v>164</v>
      </c>
      <c r="H16" s="25" t="n">
        <v>5</v>
      </c>
      <c r="I16" s="23"/>
      <c r="J16" s="26"/>
      <c r="K16" s="27"/>
      <c r="L16" s="26"/>
    </row>
    <row r="17" customFormat="false" ht="26.25" hidden="false" customHeight="true" outlineLevel="0" collapsed="false">
      <c r="A17" s="22" t="n">
        <v>46329</v>
      </c>
      <c r="B17" s="23" t="s">
        <v>147</v>
      </c>
      <c r="C17" s="23" t="n">
        <v>3</v>
      </c>
      <c r="D17" s="24" t="s">
        <v>110</v>
      </c>
      <c r="E17" s="23" t="s">
        <v>148</v>
      </c>
      <c r="F17" s="23" t="s">
        <v>149</v>
      </c>
      <c r="G17" s="8" t="s">
        <v>150</v>
      </c>
      <c r="H17" s="25"/>
      <c r="I17" s="23" t="n">
        <v>60</v>
      </c>
      <c r="J17" s="26"/>
      <c r="K17" s="27"/>
      <c r="L17" s="26"/>
    </row>
    <row r="18" customFormat="false" ht="15" hidden="false" customHeight="true" outlineLevel="0" collapsed="false">
      <c r="A18" s="22" t="n">
        <v>46330</v>
      </c>
      <c r="B18" s="23" t="s">
        <v>151</v>
      </c>
      <c r="C18" s="23" t="n">
        <v>3</v>
      </c>
      <c r="D18" s="24" t="s">
        <v>110</v>
      </c>
      <c r="E18" s="23" t="s">
        <v>145</v>
      </c>
      <c r="F18" s="23" t="s">
        <v>112</v>
      </c>
      <c r="G18" s="8" t="s">
        <v>160</v>
      </c>
      <c r="H18" s="25" t="n">
        <v>5.3</v>
      </c>
      <c r="I18" s="23"/>
      <c r="J18" s="26"/>
      <c r="K18" s="27"/>
      <c r="L18" s="26"/>
    </row>
    <row r="19" customFormat="false" ht="15" hidden="false" customHeight="true" outlineLevel="0" collapsed="false">
      <c r="A19" s="22" t="n">
        <v>46331</v>
      </c>
      <c r="B19" s="23" t="s">
        <v>152</v>
      </c>
      <c r="C19" s="23" t="n">
        <v>3</v>
      </c>
      <c r="D19" s="24" t="s">
        <v>110</v>
      </c>
      <c r="E19" s="23" t="s">
        <v>27</v>
      </c>
      <c r="F19" s="23" t="s">
        <v>149</v>
      </c>
      <c r="G19" s="8" t="s">
        <v>153</v>
      </c>
      <c r="H19" s="25"/>
      <c r="I19" s="23"/>
      <c r="J19" s="26"/>
      <c r="K19" s="27"/>
      <c r="L19" s="26"/>
    </row>
    <row r="20" customFormat="false" ht="26.25" hidden="false" customHeight="true" outlineLevel="0" collapsed="false">
      <c r="A20" s="22" t="n">
        <v>46332</v>
      </c>
      <c r="B20" s="23" t="s">
        <v>154</v>
      </c>
      <c r="C20" s="23" t="n">
        <v>3</v>
      </c>
      <c r="D20" s="24" t="s">
        <v>110</v>
      </c>
      <c r="E20" s="23" t="s">
        <v>148</v>
      </c>
      <c r="F20" s="23" t="s">
        <v>149</v>
      </c>
      <c r="G20" s="8" t="s">
        <v>150</v>
      </c>
      <c r="H20" s="25"/>
      <c r="I20" s="23" t="n">
        <v>60</v>
      </c>
      <c r="J20" s="26"/>
      <c r="K20" s="27"/>
      <c r="L20" s="26"/>
    </row>
    <row r="21" customFormat="false" ht="15" hidden="false" customHeight="true" outlineLevel="0" collapsed="false">
      <c r="A21" s="22" t="n">
        <v>46333</v>
      </c>
      <c r="B21" s="23" t="s">
        <v>155</v>
      </c>
      <c r="C21" s="23" t="n">
        <v>3</v>
      </c>
      <c r="D21" s="24" t="s">
        <v>110</v>
      </c>
      <c r="E21" s="23" t="s">
        <v>27</v>
      </c>
      <c r="F21" s="23" t="s">
        <v>149</v>
      </c>
      <c r="G21" s="8" t="s">
        <v>156</v>
      </c>
      <c r="H21" s="25"/>
      <c r="I21" s="23"/>
      <c r="J21" s="26"/>
      <c r="K21" s="27"/>
      <c r="L21" s="26"/>
    </row>
    <row r="22" customFormat="false" ht="15" hidden="false" customHeight="true" outlineLevel="0" collapsed="false">
      <c r="A22" s="28" t="n">
        <v>46334</v>
      </c>
      <c r="B22" s="29" t="s">
        <v>157</v>
      </c>
      <c r="C22" s="29" t="n">
        <v>3</v>
      </c>
      <c r="D22" s="30" t="s">
        <v>110</v>
      </c>
      <c r="E22" s="29" t="s">
        <v>145</v>
      </c>
      <c r="F22" s="29" t="s">
        <v>165</v>
      </c>
      <c r="G22" s="31" t="s">
        <v>166</v>
      </c>
      <c r="H22" s="32" t="n">
        <v>9</v>
      </c>
      <c r="I22" s="29"/>
      <c r="J22" s="33"/>
      <c r="K22" s="34"/>
      <c r="L22" s="33"/>
    </row>
    <row r="23" customFormat="false" ht="15" hidden="false" customHeight="true" outlineLevel="0" collapsed="false">
      <c r="A23" s="22" t="n">
        <v>46335</v>
      </c>
      <c r="B23" s="23" t="s">
        <v>144</v>
      </c>
      <c r="C23" s="23" t="n">
        <v>4</v>
      </c>
      <c r="D23" s="24" t="s">
        <v>110</v>
      </c>
      <c r="E23" s="23" t="s">
        <v>145</v>
      </c>
      <c r="F23" s="23" t="s">
        <v>111</v>
      </c>
      <c r="G23" s="8" t="s">
        <v>146</v>
      </c>
      <c r="H23" s="25" t="n">
        <v>4</v>
      </c>
      <c r="I23" s="23"/>
      <c r="J23" s="26"/>
      <c r="K23" s="27"/>
      <c r="L23" s="26"/>
    </row>
    <row r="24" customFormat="false" ht="26.25" hidden="false" customHeight="true" outlineLevel="0" collapsed="false">
      <c r="A24" s="22" t="n">
        <v>46336</v>
      </c>
      <c r="B24" s="23" t="s">
        <v>147</v>
      </c>
      <c r="C24" s="23" t="n">
        <v>4</v>
      </c>
      <c r="D24" s="24" t="s">
        <v>110</v>
      </c>
      <c r="E24" s="23" t="s">
        <v>148</v>
      </c>
      <c r="F24" s="23" t="s">
        <v>149</v>
      </c>
      <c r="G24" s="8" t="s">
        <v>150</v>
      </c>
      <c r="H24" s="25"/>
      <c r="I24" s="23" t="n">
        <v>60</v>
      </c>
      <c r="J24" s="26"/>
      <c r="K24" s="27"/>
      <c r="L24" s="26"/>
    </row>
    <row r="25" customFormat="false" ht="15" hidden="false" customHeight="true" outlineLevel="0" collapsed="false">
      <c r="A25" s="22" t="n">
        <v>46337</v>
      </c>
      <c r="B25" s="23" t="s">
        <v>151</v>
      </c>
      <c r="C25" s="23" t="n">
        <v>4</v>
      </c>
      <c r="D25" s="24" t="s">
        <v>110</v>
      </c>
      <c r="E25" s="23" t="s">
        <v>145</v>
      </c>
      <c r="F25" s="23" t="s">
        <v>111</v>
      </c>
      <c r="G25" s="8" t="s">
        <v>146</v>
      </c>
      <c r="H25" s="25" t="n">
        <v>4</v>
      </c>
      <c r="I25" s="23"/>
      <c r="J25" s="26"/>
      <c r="K25" s="27"/>
      <c r="L25" s="26"/>
    </row>
    <row r="26" customFormat="false" ht="15" hidden="false" customHeight="true" outlineLevel="0" collapsed="false">
      <c r="A26" s="22" t="n">
        <v>46338</v>
      </c>
      <c r="B26" s="23" t="s">
        <v>152</v>
      </c>
      <c r="C26" s="23" t="n">
        <v>4</v>
      </c>
      <c r="D26" s="24" t="s">
        <v>110</v>
      </c>
      <c r="E26" s="23" t="s">
        <v>27</v>
      </c>
      <c r="F26" s="23" t="s">
        <v>149</v>
      </c>
      <c r="G26" s="8" t="s">
        <v>153</v>
      </c>
      <c r="H26" s="25"/>
      <c r="I26" s="23"/>
      <c r="J26" s="26"/>
      <c r="K26" s="27"/>
      <c r="L26" s="26"/>
    </row>
    <row r="27" customFormat="false" ht="26.25" hidden="false" customHeight="true" outlineLevel="0" collapsed="false">
      <c r="A27" s="22" t="n">
        <v>46339</v>
      </c>
      <c r="B27" s="23" t="s">
        <v>154</v>
      </c>
      <c r="C27" s="23" t="n">
        <v>4</v>
      </c>
      <c r="D27" s="24" t="s">
        <v>110</v>
      </c>
      <c r="E27" s="23" t="s">
        <v>148</v>
      </c>
      <c r="F27" s="23" t="s">
        <v>149</v>
      </c>
      <c r="G27" s="8" t="s">
        <v>150</v>
      </c>
      <c r="H27" s="25"/>
      <c r="I27" s="23" t="n">
        <v>60</v>
      </c>
      <c r="J27" s="26"/>
      <c r="K27" s="27"/>
      <c r="L27" s="26"/>
    </row>
    <row r="28" customFormat="false" ht="15" hidden="false" customHeight="true" outlineLevel="0" collapsed="false">
      <c r="A28" s="22" t="n">
        <v>46340</v>
      </c>
      <c r="B28" s="23" t="s">
        <v>155</v>
      </c>
      <c r="C28" s="23" t="n">
        <v>4</v>
      </c>
      <c r="D28" s="24" t="s">
        <v>110</v>
      </c>
      <c r="E28" s="35" t="s">
        <v>167</v>
      </c>
      <c r="F28" s="35" t="s">
        <v>149</v>
      </c>
      <c r="G28" s="36" t="s">
        <v>168</v>
      </c>
      <c r="H28" s="25"/>
      <c r="I28" s="23"/>
      <c r="J28" s="26"/>
      <c r="K28" s="27"/>
      <c r="L28" s="26"/>
    </row>
    <row r="29" customFormat="false" ht="15" hidden="false" customHeight="true" outlineLevel="0" collapsed="false">
      <c r="A29" s="28" t="n">
        <v>46341</v>
      </c>
      <c r="B29" s="29" t="s">
        <v>157</v>
      </c>
      <c r="C29" s="29" t="n">
        <v>4</v>
      </c>
      <c r="D29" s="30" t="s">
        <v>110</v>
      </c>
      <c r="E29" s="29" t="s">
        <v>145</v>
      </c>
      <c r="F29" s="29" t="s">
        <v>158</v>
      </c>
      <c r="G29" s="31" t="s">
        <v>159</v>
      </c>
      <c r="H29" s="32" t="n">
        <v>7</v>
      </c>
      <c r="I29" s="29"/>
      <c r="J29" s="33"/>
      <c r="K29" s="34"/>
      <c r="L29" s="33"/>
    </row>
    <row r="30" customFormat="false" ht="15" hidden="false" customHeight="true" outlineLevel="0" collapsed="false">
      <c r="A30" s="22" t="n">
        <v>46342</v>
      </c>
      <c r="B30" s="23" t="s">
        <v>144</v>
      </c>
      <c r="C30" s="23" t="n">
        <v>5</v>
      </c>
      <c r="D30" s="24" t="s">
        <v>110</v>
      </c>
      <c r="E30" s="23" t="s">
        <v>145</v>
      </c>
      <c r="F30" s="23" t="s">
        <v>163</v>
      </c>
      <c r="G30" s="8" t="s">
        <v>164</v>
      </c>
      <c r="H30" s="25" t="n">
        <v>5</v>
      </c>
      <c r="I30" s="23"/>
      <c r="J30" s="26"/>
      <c r="K30" s="27"/>
      <c r="L30" s="26"/>
    </row>
    <row r="31" customFormat="false" ht="26.25" hidden="false" customHeight="true" outlineLevel="0" collapsed="false">
      <c r="A31" s="22" t="n">
        <v>46343</v>
      </c>
      <c r="B31" s="23" t="s">
        <v>147</v>
      </c>
      <c r="C31" s="23" t="n">
        <v>5</v>
      </c>
      <c r="D31" s="24" t="s">
        <v>110</v>
      </c>
      <c r="E31" s="23" t="s">
        <v>148</v>
      </c>
      <c r="F31" s="23" t="s">
        <v>149</v>
      </c>
      <c r="G31" s="8" t="s">
        <v>150</v>
      </c>
      <c r="H31" s="25"/>
      <c r="I31" s="23" t="n">
        <v>60</v>
      </c>
      <c r="J31" s="26"/>
      <c r="K31" s="27"/>
      <c r="L31" s="26"/>
    </row>
    <row r="32" customFormat="false" ht="15" hidden="false" customHeight="true" outlineLevel="0" collapsed="false">
      <c r="A32" s="22" t="n">
        <v>46344</v>
      </c>
      <c r="B32" s="23" t="s">
        <v>151</v>
      </c>
      <c r="C32" s="23" t="n">
        <v>5</v>
      </c>
      <c r="D32" s="24" t="s">
        <v>110</v>
      </c>
      <c r="E32" s="23" t="s">
        <v>145</v>
      </c>
      <c r="F32" s="23" t="s">
        <v>114</v>
      </c>
      <c r="G32" s="8" t="s">
        <v>169</v>
      </c>
      <c r="H32" s="25" t="n">
        <v>6.3</v>
      </c>
      <c r="I32" s="23"/>
      <c r="J32" s="26"/>
      <c r="K32" s="27"/>
      <c r="L32" s="26"/>
    </row>
    <row r="33" customFormat="false" ht="15" hidden="false" customHeight="true" outlineLevel="0" collapsed="false">
      <c r="A33" s="22" t="n">
        <v>46345</v>
      </c>
      <c r="B33" s="23" t="s">
        <v>152</v>
      </c>
      <c r="C33" s="23" t="n">
        <v>5</v>
      </c>
      <c r="D33" s="24" t="s">
        <v>110</v>
      </c>
      <c r="E33" s="23" t="s">
        <v>27</v>
      </c>
      <c r="F33" s="23" t="s">
        <v>149</v>
      </c>
      <c r="G33" s="8" t="s">
        <v>153</v>
      </c>
      <c r="H33" s="25"/>
      <c r="I33" s="23"/>
      <c r="J33" s="26"/>
      <c r="K33" s="27"/>
      <c r="L33" s="26"/>
    </row>
    <row r="34" customFormat="false" ht="26.25" hidden="false" customHeight="true" outlineLevel="0" collapsed="false">
      <c r="A34" s="22" t="n">
        <v>46346</v>
      </c>
      <c r="B34" s="23" t="s">
        <v>154</v>
      </c>
      <c r="C34" s="23" t="n">
        <v>5</v>
      </c>
      <c r="D34" s="24" t="s">
        <v>110</v>
      </c>
      <c r="E34" s="23" t="s">
        <v>148</v>
      </c>
      <c r="F34" s="23" t="s">
        <v>149</v>
      </c>
      <c r="G34" s="8" t="s">
        <v>150</v>
      </c>
      <c r="H34" s="25"/>
      <c r="I34" s="23" t="n">
        <v>60</v>
      </c>
      <c r="J34" s="26"/>
      <c r="K34" s="27"/>
      <c r="L34" s="26"/>
    </row>
    <row r="35" customFormat="false" ht="15" hidden="false" customHeight="true" outlineLevel="0" collapsed="false">
      <c r="A35" s="22" t="n">
        <v>46347</v>
      </c>
      <c r="B35" s="23" t="s">
        <v>155</v>
      </c>
      <c r="C35" s="23" t="n">
        <v>5</v>
      </c>
      <c r="D35" s="24" t="s">
        <v>110</v>
      </c>
      <c r="E35" s="23" t="s">
        <v>27</v>
      </c>
      <c r="F35" s="23" t="s">
        <v>149</v>
      </c>
      <c r="G35" s="8" t="s">
        <v>156</v>
      </c>
      <c r="H35" s="25"/>
      <c r="I35" s="23"/>
      <c r="J35" s="26"/>
      <c r="K35" s="27"/>
      <c r="L35" s="26"/>
    </row>
    <row r="36" customFormat="false" ht="15" hidden="false" customHeight="true" outlineLevel="0" collapsed="false">
      <c r="A36" s="28" t="n">
        <v>46348</v>
      </c>
      <c r="B36" s="29" t="s">
        <v>157</v>
      </c>
      <c r="C36" s="29" t="n">
        <v>5</v>
      </c>
      <c r="D36" s="30" t="s">
        <v>110</v>
      </c>
      <c r="E36" s="29" t="s">
        <v>145</v>
      </c>
      <c r="F36" s="29" t="s">
        <v>170</v>
      </c>
      <c r="G36" s="31" t="s">
        <v>171</v>
      </c>
      <c r="H36" s="32" t="n">
        <v>10</v>
      </c>
      <c r="I36" s="29"/>
      <c r="J36" s="33"/>
      <c r="K36" s="34"/>
      <c r="L36" s="33"/>
    </row>
    <row r="37" customFormat="false" ht="15" hidden="false" customHeight="true" outlineLevel="0" collapsed="false">
      <c r="A37" s="22" t="n">
        <v>46349</v>
      </c>
      <c r="B37" s="23" t="s">
        <v>144</v>
      </c>
      <c r="C37" s="23" t="n">
        <v>6</v>
      </c>
      <c r="D37" s="24" t="s">
        <v>110</v>
      </c>
      <c r="E37" s="23" t="s">
        <v>145</v>
      </c>
      <c r="F37" s="23" t="s">
        <v>163</v>
      </c>
      <c r="G37" s="8" t="s">
        <v>164</v>
      </c>
      <c r="H37" s="25" t="n">
        <v>5</v>
      </c>
      <c r="I37" s="23"/>
      <c r="J37" s="26"/>
      <c r="K37" s="27"/>
      <c r="L37" s="26"/>
    </row>
    <row r="38" customFormat="false" ht="26.25" hidden="false" customHeight="true" outlineLevel="0" collapsed="false">
      <c r="A38" s="22" t="n">
        <v>46350</v>
      </c>
      <c r="B38" s="23" t="s">
        <v>147</v>
      </c>
      <c r="C38" s="23" t="n">
        <v>6</v>
      </c>
      <c r="D38" s="24" t="s">
        <v>110</v>
      </c>
      <c r="E38" s="23" t="s">
        <v>148</v>
      </c>
      <c r="F38" s="23" t="s">
        <v>149</v>
      </c>
      <c r="G38" s="8" t="s">
        <v>150</v>
      </c>
      <c r="H38" s="25"/>
      <c r="I38" s="23" t="n">
        <v>60</v>
      </c>
      <c r="J38" s="26"/>
      <c r="K38" s="27"/>
      <c r="L38" s="26"/>
    </row>
    <row r="39" customFormat="false" ht="15" hidden="false" customHeight="true" outlineLevel="0" collapsed="false">
      <c r="A39" s="22" t="n">
        <v>46351</v>
      </c>
      <c r="B39" s="23" t="s">
        <v>151</v>
      </c>
      <c r="C39" s="23" t="n">
        <v>6</v>
      </c>
      <c r="D39" s="24" t="s">
        <v>110</v>
      </c>
      <c r="E39" s="23" t="s">
        <v>145</v>
      </c>
      <c r="F39" s="23" t="s">
        <v>115</v>
      </c>
      <c r="G39" s="8" t="s">
        <v>172</v>
      </c>
      <c r="H39" s="25" t="n">
        <v>6</v>
      </c>
      <c r="I39" s="23"/>
      <c r="J39" s="26"/>
      <c r="K39" s="27"/>
      <c r="L39" s="26"/>
    </row>
    <row r="40" customFormat="false" ht="15" hidden="false" customHeight="true" outlineLevel="0" collapsed="false">
      <c r="A40" s="22" t="n">
        <v>46352</v>
      </c>
      <c r="B40" s="23" t="s">
        <v>152</v>
      </c>
      <c r="C40" s="23" t="n">
        <v>6</v>
      </c>
      <c r="D40" s="24" t="s">
        <v>110</v>
      </c>
      <c r="E40" s="23" t="s">
        <v>27</v>
      </c>
      <c r="F40" s="23" t="s">
        <v>149</v>
      </c>
      <c r="G40" s="8" t="s">
        <v>153</v>
      </c>
      <c r="H40" s="25"/>
      <c r="I40" s="23"/>
      <c r="J40" s="26"/>
      <c r="K40" s="27"/>
      <c r="L40" s="26"/>
    </row>
    <row r="41" customFormat="false" ht="26.25" hidden="false" customHeight="true" outlineLevel="0" collapsed="false">
      <c r="A41" s="22" t="n">
        <v>46353</v>
      </c>
      <c r="B41" s="23" t="s">
        <v>154</v>
      </c>
      <c r="C41" s="23" t="n">
        <v>6</v>
      </c>
      <c r="D41" s="24" t="s">
        <v>110</v>
      </c>
      <c r="E41" s="23" t="s">
        <v>148</v>
      </c>
      <c r="F41" s="23" t="s">
        <v>149</v>
      </c>
      <c r="G41" s="8" t="s">
        <v>150</v>
      </c>
      <c r="H41" s="25"/>
      <c r="I41" s="23" t="n">
        <v>60</v>
      </c>
      <c r="J41" s="26"/>
      <c r="K41" s="27"/>
      <c r="L41" s="26"/>
    </row>
    <row r="42" customFormat="false" ht="15" hidden="false" customHeight="true" outlineLevel="0" collapsed="false">
      <c r="A42" s="22" t="n">
        <v>46354</v>
      </c>
      <c r="B42" s="23" t="s">
        <v>155</v>
      </c>
      <c r="C42" s="23" t="n">
        <v>6</v>
      </c>
      <c r="D42" s="24" t="s">
        <v>110</v>
      </c>
      <c r="E42" s="23" t="s">
        <v>27</v>
      </c>
      <c r="F42" s="23" t="s">
        <v>149</v>
      </c>
      <c r="G42" s="8" t="s">
        <v>156</v>
      </c>
      <c r="H42" s="25"/>
      <c r="I42" s="23"/>
      <c r="J42" s="26"/>
      <c r="K42" s="27"/>
      <c r="L42" s="26"/>
    </row>
    <row r="43" customFormat="false" ht="15" hidden="false" customHeight="true" outlineLevel="0" collapsed="false">
      <c r="A43" s="28" t="n">
        <v>46355</v>
      </c>
      <c r="B43" s="29" t="s">
        <v>157</v>
      </c>
      <c r="C43" s="29" t="n">
        <v>6</v>
      </c>
      <c r="D43" s="30" t="s">
        <v>110</v>
      </c>
      <c r="E43" s="29" t="s">
        <v>145</v>
      </c>
      <c r="F43" s="29" t="s">
        <v>173</v>
      </c>
      <c r="G43" s="31" t="s">
        <v>174</v>
      </c>
      <c r="H43" s="32" t="n">
        <v>11</v>
      </c>
      <c r="I43" s="29"/>
      <c r="J43" s="33"/>
      <c r="K43" s="34"/>
      <c r="L43" s="33"/>
    </row>
    <row r="44" customFormat="false" ht="15" hidden="false" customHeight="true" outlineLevel="0" collapsed="false">
      <c r="A44" s="22" t="n">
        <v>46356</v>
      </c>
      <c r="B44" s="23" t="s">
        <v>144</v>
      </c>
      <c r="C44" s="23" t="n">
        <v>7</v>
      </c>
      <c r="D44" s="24" t="s">
        <v>110</v>
      </c>
      <c r="E44" s="23" t="s">
        <v>145</v>
      </c>
      <c r="F44" s="23" t="s">
        <v>175</v>
      </c>
      <c r="G44" s="8" t="s">
        <v>176</v>
      </c>
      <c r="H44" s="25" t="n">
        <v>6</v>
      </c>
      <c r="I44" s="23"/>
      <c r="J44" s="26"/>
      <c r="K44" s="27"/>
      <c r="L44" s="26"/>
    </row>
    <row r="45" customFormat="false" ht="26.25" hidden="false" customHeight="true" outlineLevel="0" collapsed="false">
      <c r="A45" s="22" t="n">
        <v>46357</v>
      </c>
      <c r="B45" s="23" t="s">
        <v>147</v>
      </c>
      <c r="C45" s="23" t="n">
        <v>7</v>
      </c>
      <c r="D45" s="24" t="s">
        <v>110</v>
      </c>
      <c r="E45" s="23" t="s">
        <v>148</v>
      </c>
      <c r="F45" s="23" t="s">
        <v>149</v>
      </c>
      <c r="G45" s="8" t="s">
        <v>150</v>
      </c>
      <c r="H45" s="25"/>
      <c r="I45" s="23" t="n">
        <v>60</v>
      </c>
      <c r="J45" s="26"/>
      <c r="K45" s="27"/>
      <c r="L45" s="26"/>
    </row>
    <row r="46" customFormat="false" ht="15" hidden="false" customHeight="true" outlineLevel="0" collapsed="false">
      <c r="A46" s="22" t="n">
        <v>46358</v>
      </c>
      <c r="B46" s="23" t="s">
        <v>151</v>
      </c>
      <c r="C46" s="23" t="n">
        <v>7</v>
      </c>
      <c r="D46" s="24" t="s">
        <v>110</v>
      </c>
      <c r="E46" s="23" t="s">
        <v>145</v>
      </c>
      <c r="F46" s="23" t="s">
        <v>116</v>
      </c>
      <c r="G46" s="8" t="s">
        <v>177</v>
      </c>
      <c r="H46" s="25" t="n">
        <v>7</v>
      </c>
      <c r="I46" s="23"/>
      <c r="J46" s="26"/>
      <c r="K46" s="27"/>
      <c r="L46" s="26"/>
    </row>
    <row r="47" customFormat="false" ht="15" hidden="false" customHeight="true" outlineLevel="0" collapsed="false">
      <c r="A47" s="22" t="n">
        <v>46359</v>
      </c>
      <c r="B47" s="23" t="s">
        <v>152</v>
      </c>
      <c r="C47" s="23" t="n">
        <v>7</v>
      </c>
      <c r="D47" s="24" t="s">
        <v>110</v>
      </c>
      <c r="E47" s="23" t="s">
        <v>27</v>
      </c>
      <c r="F47" s="23" t="s">
        <v>149</v>
      </c>
      <c r="G47" s="8" t="s">
        <v>153</v>
      </c>
      <c r="H47" s="25"/>
      <c r="I47" s="23"/>
      <c r="J47" s="26"/>
      <c r="K47" s="27"/>
      <c r="L47" s="26"/>
    </row>
    <row r="48" customFormat="false" ht="26.25" hidden="false" customHeight="true" outlineLevel="0" collapsed="false">
      <c r="A48" s="22" t="n">
        <v>46360</v>
      </c>
      <c r="B48" s="23" t="s">
        <v>154</v>
      </c>
      <c r="C48" s="23" t="n">
        <v>7</v>
      </c>
      <c r="D48" s="24" t="s">
        <v>110</v>
      </c>
      <c r="E48" s="23" t="s">
        <v>148</v>
      </c>
      <c r="F48" s="23" t="s">
        <v>149</v>
      </c>
      <c r="G48" s="8" t="s">
        <v>150</v>
      </c>
      <c r="H48" s="25"/>
      <c r="I48" s="23" t="n">
        <v>60</v>
      </c>
      <c r="J48" s="26"/>
      <c r="K48" s="27"/>
      <c r="L48" s="26"/>
    </row>
    <row r="49" customFormat="false" ht="15" hidden="false" customHeight="true" outlineLevel="0" collapsed="false">
      <c r="A49" s="22" t="n">
        <v>46361</v>
      </c>
      <c r="B49" s="23" t="s">
        <v>155</v>
      </c>
      <c r="C49" s="23" t="n">
        <v>7</v>
      </c>
      <c r="D49" s="24" t="s">
        <v>110</v>
      </c>
      <c r="E49" s="23" t="s">
        <v>27</v>
      </c>
      <c r="F49" s="23" t="s">
        <v>149</v>
      </c>
      <c r="G49" s="8" t="s">
        <v>156</v>
      </c>
      <c r="H49" s="25"/>
      <c r="I49" s="23"/>
      <c r="J49" s="26"/>
      <c r="K49" s="27"/>
      <c r="L49" s="26"/>
    </row>
    <row r="50" customFormat="false" ht="15" hidden="false" customHeight="true" outlineLevel="0" collapsed="false">
      <c r="A50" s="28" t="n">
        <v>46362</v>
      </c>
      <c r="B50" s="29" t="s">
        <v>157</v>
      </c>
      <c r="C50" s="29" t="n">
        <v>7</v>
      </c>
      <c r="D50" s="30" t="s">
        <v>110</v>
      </c>
      <c r="E50" s="29" t="s">
        <v>145</v>
      </c>
      <c r="F50" s="29" t="s">
        <v>178</v>
      </c>
      <c r="G50" s="31" t="s">
        <v>179</v>
      </c>
      <c r="H50" s="32" t="n">
        <v>12</v>
      </c>
      <c r="I50" s="29"/>
      <c r="J50" s="33"/>
      <c r="K50" s="34"/>
      <c r="L50" s="33"/>
    </row>
    <row r="51" customFormat="false" ht="15" hidden="false" customHeight="true" outlineLevel="0" collapsed="false">
      <c r="A51" s="22" t="n">
        <v>46363</v>
      </c>
      <c r="B51" s="23" t="s">
        <v>144</v>
      </c>
      <c r="C51" s="23" t="n">
        <v>8</v>
      </c>
      <c r="D51" s="24" t="s">
        <v>110</v>
      </c>
      <c r="E51" s="23" t="s">
        <v>145</v>
      </c>
      <c r="F51" s="23" t="s">
        <v>163</v>
      </c>
      <c r="G51" s="8" t="s">
        <v>164</v>
      </c>
      <c r="H51" s="25" t="n">
        <v>5</v>
      </c>
      <c r="I51" s="23"/>
      <c r="J51" s="26"/>
      <c r="K51" s="27"/>
      <c r="L51" s="26"/>
    </row>
    <row r="52" customFormat="false" ht="26.25" hidden="false" customHeight="true" outlineLevel="0" collapsed="false">
      <c r="A52" s="22" t="n">
        <v>46364</v>
      </c>
      <c r="B52" s="23" t="s">
        <v>147</v>
      </c>
      <c r="C52" s="23" t="n">
        <v>8</v>
      </c>
      <c r="D52" s="24" t="s">
        <v>110</v>
      </c>
      <c r="E52" s="23" t="s">
        <v>148</v>
      </c>
      <c r="F52" s="23" t="s">
        <v>149</v>
      </c>
      <c r="G52" s="8" t="s">
        <v>150</v>
      </c>
      <c r="H52" s="25"/>
      <c r="I52" s="23" t="n">
        <v>60</v>
      </c>
      <c r="J52" s="26"/>
      <c r="K52" s="27"/>
      <c r="L52" s="26"/>
    </row>
    <row r="53" customFormat="false" ht="15" hidden="false" customHeight="true" outlineLevel="0" collapsed="false">
      <c r="A53" s="22" t="n">
        <v>46365</v>
      </c>
      <c r="B53" s="23" t="s">
        <v>151</v>
      </c>
      <c r="C53" s="23" t="n">
        <v>8</v>
      </c>
      <c r="D53" s="24" t="s">
        <v>110</v>
      </c>
      <c r="E53" s="23" t="s">
        <v>145</v>
      </c>
      <c r="F53" s="23" t="s">
        <v>112</v>
      </c>
      <c r="G53" s="8" t="s">
        <v>160</v>
      </c>
      <c r="H53" s="25" t="n">
        <v>5.3</v>
      </c>
      <c r="I53" s="23"/>
      <c r="J53" s="26"/>
      <c r="K53" s="27"/>
      <c r="L53" s="26"/>
    </row>
    <row r="54" customFormat="false" ht="15" hidden="false" customHeight="true" outlineLevel="0" collapsed="false">
      <c r="A54" s="22" t="n">
        <v>46366</v>
      </c>
      <c r="B54" s="23" t="s">
        <v>152</v>
      </c>
      <c r="C54" s="23" t="n">
        <v>8</v>
      </c>
      <c r="D54" s="24" t="s">
        <v>110</v>
      </c>
      <c r="E54" s="23" t="s">
        <v>27</v>
      </c>
      <c r="F54" s="23" t="s">
        <v>149</v>
      </c>
      <c r="G54" s="8" t="s">
        <v>153</v>
      </c>
      <c r="H54" s="25"/>
      <c r="I54" s="23"/>
      <c r="J54" s="26"/>
      <c r="K54" s="27"/>
      <c r="L54" s="26"/>
    </row>
    <row r="55" customFormat="false" ht="26.25" hidden="false" customHeight="true" outlineLevel="0" collapsed="false">
      <c r="A55" s="22" t="n">
        <v>46367</v>
      </c>
      <c r="B55" s="23" t="s">
        <v>154</v>
      </c>
      <c r="C55" s="23" t="n">
        <v>8</v>
      </c>
      <c r="D55" s="24" t="s">
        <v>110</v>
      </c>
      <c r="E55" s="23" t="s">
        <v>148</v>
      </c>
      <c r="F55" s="23" t="s">
        <v>149</v>
      </c>
      <c r="G55" s="8" t="s">
        <v>150</v>
      </c>
      <c r="H55" s="25"/>
      <c r="I55" s="23" t="n">
        <v>60</v>
      </c>
      <c r="J55" s="26"/>
      <c r="K55" s="27"/>
      <c r="L55" s="26"/>
    </row>
    <row r="56" customFormat="false" ht="15" hidden="false" customHeight="true" outlineLevel="0" collapsed="false">
      <c r="A56" s="22" t="n">
        <v>46368</v>
      </c>
      <c r="B56" s="23" t="s">
        <v>155</v>
      </c>
      <c r="C56" s="23" t="n">
        <v>8</v>
      </c>
      <c r="D56" s="24" t="s">
        <v>110</v>
      </c>
      <c r="E56" s="35" t="s">
        <v>167</v>
      </c>
      <c r="F56" s="35" t="s">
        <v>149</v>
      </c>
      <c r="G56" s="36" t="s">
        <v>168</v>
      </c>
      <c r="H56" s="25"/>
      <c r="I56" s="23"/>
      <c r="J56" s="26"/>
      <c r="K56" s="27"/>
      <c r="L56" s="26"/>
    </row>
    <row r="57" customFormat="false" ht="15" hidden="false" customHeight="true" outlineLevel="0" collapsed="false">
      <c r="A57" s="28" t="n">
        <v>46369</v>
      </c>
      <c r="B57" s="29" t="s">
        <v>157</v>
      </c>
      <c r="C57" s="29" t="n">
        <v>8</v>
      </c>
      <c r="D57" s="30" t="s">
        <v>110</v>
      </c>
      <c r="E57" s="29" t="s">
        <v>145</v>
      </c>
      <c r="F57" s="29" t="s">
        <v>165</v>
      </c>
      <c r="G57" s="31" t="s">
        <v>166</v>
      </c>
      <c r="H57" s="32" t="n">
        <v>9</v>
      </c>
      <c r="I57" s="29"/>
      <c r="J57" s="33"/>
      <c r="K57" s="34"/>
      <c r="L57" s="33"/>
    </row>
    <row r="58" customFormat="false" ht="15" hidden="false" customHeight="true" outlineLevel="0" collapsed="false">
      <c r="A58" s="22" t="n">
        <v>46370</v>
      </c>
      <c r="B58" s="23" t="s">
        <v>144</v>
      </c>
      <c r="C58" s="23" t="n">
        <v>9</v>
      </c>
      <c r="D58" s="24" t="s">
        <v>110</v>
      </c>
      <c r="E58" s="23" t="s">
        <v>145</v>
      </c>
      <c r="F58" s="23" t="s">
        <v>175</v>
      </c>
      <c r="G58" s="8" t="s">
        <v>176</v>
      </c>
      <c r="H58" s="25" t="n">
        <v>6</v>
      </c>
      <c r="I58" s="23"/>
      <c r="J58" s="26"/>
      <c r="K58" s="27"/>
      <c r="L58" s="26"/>
    </row>
    <row r="59" customFormat="false" ht="26.25" hidden="false" customHeight="true" outlineLevel="0" collapsed="false">
      <c r="A59" s="22" t="n">
        <v>46371</v>
      </c>
      <c r="B59" s="23" t="s">
        <v>147</v>
      </c>
      <c r="C59" s="23" t="n">
        <v>9</v>
      </c>
      <c r="D59" s="24" t="s">
        <v>110</v>
      </c>
      <c r="E59" s="23" t="s">
        <v>148</v>
      </c>
      <c r="F59" s="23" t="s">
        <v>149</v>
      </c>
      <c r="G59" s="8" t="s">
        <v>150</v>
      </c>
      <c r="H59" s="25"/>
      <c r="I59" s="23" t="n">
        <v>60</v>
      </c>
      <c r="J59" s="26"/>
      <c r="K59" s="27"/>
      <c r="L59" s="26"/>
    </row>
    <row r="60" customFormat="false" ht="15" hidden="false" customHeight="true" outlineLevel="0" collapsed="false">
      <c r="A60" s="22" t="n">
        <v>46372</v>
      </c>
      <c r="B60" s="23" t="s">
        <v>151</v>
      </c>
      <c r="C60" s="23" t="n">
        <v>9</v>
      </c>
      <c r="D60" s="24" t="s">
        <v>110</v>
      </c>
      <c r="E60" s="23" t="s">
        <v>145</v>
      </c>
      <c r="F60" s="23" t="s">
        <v>116</v>
      </c>
      <c r="G60" s="8" t="s">
        <v>177</v>
      </c>
      <c r="H60" s="25" t="n">
        <v>7</v>
      </c>
      <c r="I60" s="23"/>
      <c r="J60" s="26"/>
      <c r="K60" s="27"/>
      <c r="L60" s="26"/>
    </row>
    <row r="61" customFormat="false" ht="15" hidden="false" customHeight="true" outlineLevel="0" collapsed="false">
      <c r="A61" s="22" t="n">
        <v>46373</v>
      </c>
      <c r="B61" s="23" t="s">
        <v>152</v>
      </c>
      <c r="C61" s="23" t="n">
        <v>9</v>
      </c>
      <c r="D61" s="24" t="s">
        <v>110</v>
      </c>
      <c r="E61" s="23" t="s">
        <v>27</v>
      </c>
      <c r="F61" s="23" t="s">
        <v>149</v>
      </c>
      <c r="G61" s="8" t="s">
        <v>153</v>
      </c>
      <c r="H61" s="25"/>
      <c r="I61" s="23"/>
      <c r="J61" s="26"/>
      <c r="K61" s="27"/>
      <c r="L61" s="26"/>
    </row>
    <row r="62" customFormat="false" ht="26.25" hidden="false" customHeight="true" outlineLevel="0" collapsed="false">
      <c r="A62" s="22" t="n">
        <v>46374</v>
      </c>
      <c r="B62" s="23" t="s">
        <v>154</v>
      </c>
      <c r="C62" s="23" t="n">
        <v>9</v>
      </c>
      <c r="D62" s="24" t="s">
        <v>110</v>
      </c>
      <c r="E62" s="23" t="s">
        <v>148</v>
      </c>
      <c r="F62" s="23" t="s">
        <v>149</v>
      </c>
      <c r="G62" s="8" t="s">
        <v>150</v>
      </c>
      <c r="H62" s="25"/>
      <c r="I62" s="23" t="n">
        <v>60</v>
      </c>
      <c r="J62" s="26"/>
      <c r="K62" s="27"/>
      <c r="L62" s="26"/>
    </row>
    <row r="63" customFormat="false" ht="15" hidden="false" customHeight="true" outlineLevel="0" collapsed="false">
      <c r="A63" s="22" t="n">
        <v>46375</v>
      </c>
      <c r="B63" s="23" t="s">
        <v>155</v>
      </c>
      <c r="C63" s="23" t="n">
        <v>9</v>
      </c>
      <c r="D63" s="24" t="s">
        <v>110</v>
      </c>
      <c r="E63" s="23" t="s">
        <v>27</v>
      </c>
      <c r="F63" s="23" t="s">
        <v>149</v>
      </c>
      <c r="G63" s="8" t="s">
        <v>156</v>
      </c>
      <c r="H63" s="25"/>
      <c r="I63" s="23"/>
      <c r="J63" s="26"/>
      <c r="K63" s="27"/>
      <c r="L63" s="26"/>
    </row>
    <row r="64" customFormat="false" ht="15" hidden="false" customHeight="true" outlineLevel="0" collapsed="false">
      <c r="A64" s="28" t="n">
        <v>46376</v>
      </c>
      <c r="B64" s="29" t="s">
        <v>157</v>
      </c>
      <c r="C64" s="29" t="n">
        <v>9</v>
      </c>
      <c r="D64" s="30" t="s">
        <v>110</v>
      </c>
      <c r="E64" s="29" t="s">
        <v>145</v>
      </c>
      <c r="F64" s="29" t="s">
        <v>178</v>
      </c>
      <c r="G64" s="31" t="s">
        <v>179</v>
      </c>
      <c r="H64" s="32" t="n">
        <v>12</v>
      </c>
      <c r="I64" s="29"/>
      <c r="J64" s="33"/>
      <c r="K64" s="34"/>
      <c r="L64" s="33"/>
    </row>
    <row r="65" customFormat="false" ht="15" hidden="false" customHeight="true" outlineLevel="0" collapsed="false">
      <c r="A65" s="22" t="n">
        <v>46377</v>
      </c>
      <c r="B65" s="23" t="s">
        <v>144</v>
      </c>
      <c r="C65" s="23" t="n">
        <v>10</v>
      </c>
      <c r="D65" s="24" t="s">
        <v>110</v>
      </c>
      <c r="E65" s="23" t="s">
        <v>145</v>
      </c>
      <c r="F65" s="23" t="s">
        <v>180</v>
      </c>
      <c r="G65" s="8" t="s">
        <v>181</v>
      </c>
      <c r="H65" s="25" t="n">
        <v>7</v>
      </c>
      <c r="I65" s="23"/>
      <c r="J65" s="26"/>
      <c r="K65" s="27"/>
      <c r="L65" s="26"/>
    </row>
    <row r="66" customFormat="false" ht="26.25" hidden="false" customHeight="true" outlineLevel="0" collapsed="false">
      <c r="A66" s="22" t="n">
        <v>46378</v>
      </c>
      <c r="B66" s="23" t="s">
        <v>147</v>
      </c>
      <c r="C66" s="23" t="n">
        <v>10</v>
      </c>
      <c r="D66" s="24" t="s">
        <v>110</v>
      </c>
      <c r="E66" s="23" t="s">
        <v>148</v>
      </c>
      <c r="F66" s="23" t="s">
        <v>149</v>
      </c>
      <c r="G66" s="8" t="s">
        <v>150</v>
      </c>
      <c r="H66" s="25"/>
      <c r="I66" s="23" t="n">
        <v>60</v>
      </c>
      <c r="J66" s="26"/>
      <c r="K66" s="27"/>
      <c r="L66" s="26"/>
    </row>
    <row r="67" customFormat="false" ht="15" hidden="false" customHeight="true" outlineLevel="0" collapsed="false">
      <c r="A67" s="22" t="n">
        <v>46379</v>
      </c>
      <c r="B67" s="23" t="s">
        <v>151</v>
      </c>
      <c r="C67" s="23" t="n">
        <v>10</v>
      </c>
      <c r="D67" s="24" t="s">
        <v>110</v>
      </c>
      <c r="E67" s="23" t="s">
        <v>145</v>
      </c>
      <c r="F67" s="23" t="s">
        <v>116</v>
      </c>
      <c r="G67" s="8" t="s">
        <v>177</v>
      </c>
      <c r="H67" s="25" t="n">
        <v>7</v>
      </c>
      <c r="I67" s="23"/>
      <c r="J67" s="26"/>
      <c r="K67" s="27"/>
      <c r="L67" s="26"/>
    </row>
    <row r="68" customFormat="false" ht="15" hidden="false" customHeight="true" outlineLevel="0" collapsed="false">
      <c r="A68" s="22" t="n">
        <v>46380</v>
      </c>
      <c r="B68" s="23" t="s">
        <v>152</v>
      </c>
      <c r="C68" s="23" t="n">
        <v>10</v>
      </c>
      <c r="D68" s="24" t="s">
        <v>110</v>
      </c>
      <c r="E68" s="23" t="s">
        <v>27</v>
      </c>
      <c r="F68" s="23" t="s">
        <v>149</v>
      </c>
      <c r="G68" s="8" t="s">
        <v>153</v>
      </c>
      <c r="H68" s="25"/>
      <c r="I68" s="23"/>
      <c r="J68" s="26"/>
      <c r="K68" s="27"/>
      <c r="L68" s="26"/>
    </row>
    <row r="69" customFormat="false" ht="26.25" hidden="false" customHeight="true" outlineLevel="0" collapsed="false">
      <c r="A69" s="22" t="n">
        <v>46381</v>
      </c>
      <c r="B69" s="23" t="s">
        <v>154</v>
      </c>
      <c r="C69" s="23" t="n">
        <v>10</v>
      </c>
      <c r="D69" s="24" t="s">
        <v>110</v>
      </c>
      <c r="E69" s="23" t="s">
        <v>148</v>
      </c>
      <c r="F69" s="23" t="s">
        <v>149</v>
      </c>
      <c r="G69" s="8" t="s">
        <v>150</v>
      </c>
      <c r="H69" s="25"/>
      <c r="I69" s="23" t="n">
        <v>60</v>
      </c>
      <c r="J69" s="26"/>
      <c r="K69" s="27"/>
      <c r="L69" s="26"/>
    </row>
    <row r="70" customFormat="false" ht="15" hidden="false" customHeight="true" outlineLevel="0" collapsed="false">
      <c r="A70" s="22" t="n">
        <v>46382</v>
      </c>
      <c r="B70" s="23" t="s">
        <v>155</v>
      </c>
      <c r="C70" s="23" t="n">
        <v>10</v>
      </c>
      <c r="D70" s="24" t="s">
        <v>110</v>
      </c>
      <c r="E70" s="23" t="s">
        <v>27</v>
      </c>
      <c r="F70" s="23" t="s">
        <v>149</v>
      </c>
      <c r="G70" s="8" t="s">
        <v>156</v>
      </c>
      <c r="H70" s="25"/>
      <c r="I70" s="23"/>
      <c r="J70" s="26"/>
      <c r="K70" s="27"/>
      <c r="L70" s="26"/>
    </row>
    <row r="71" customFormat="false" ht="15" hidden="false" customHeight="true" outlineLevel="0" collapsed="false">
      <c r="A71" s="28" t="n">
        <v>46383</v>
      </c>
      <c r="B71" s="29" t="s">
        <v>157</v>
      </c>
      <c r="C71" s="29" t="n">
        <v>10</v>
      </c>
      <c r="D71" s="30" t="s">
        <v>110</v>
      </c>
      <c r="E71" s="29" t="s">
        <v>145</v>
      </c>
      <c r="F71" s="29" t="s">
        <v>182</v>
      </c>
      <c r="G71" s="31" t="s">
        <v>183</v>
      </c>
      <c r="H71" s="32" t="n">
        <v>13</v>
      </c>
      <c r="I71" s="29"/>
      <c r="J71" s="33"/>
      <c r="K71" s="34"/>
      <c r="L71" s="33"/>
    </row>
    <row r="72" customFormat="false" ht="15" hidden="false" customHeight="true" outlineLevel="0" collapsed="false">
      <c r="A72" s="22" t="n">
        <v>46384</v>
      </c>
      <c r="B72" s="23" t="s">
        <v>144</v>
      </c>
      <c r="C72" s="23" t="n">
        <v>11</v>
      </c>
      <c r="D72" s="24" t="s">
        <v>110</v>
      </c>
      <c r="E72" s="23" t="s">
        <v>145</v>
      </c>
      <c r="F72" s="23" t="s">
        <v>175</v>
      </c>
      <c r="G72" s="8" t="s">
        <v>176</v>
      </c>
      <c r="H72" s="25" t="n">
        <v>6</v>
      </c>
      <c r="I72" s="23"/>
      <c r="J72" s="26"/>
      <c r="K72" s="27"/>
      <c r="L72" s="26"/>
    </row>
    <row r="73" customFormat="false" ht="26.25" hidden="false" customHeight="true" outlineLevel="0" collapsed="false">
      <c r="A73" s="22" t="n">
        <v>46385</v>
      </c>
      <c r="B73" s="23" t="s">
        <v>147</v>
      </c>
      <c r="C73" s="23" t="n">
        <v>11</v>
      </c>
      <c r="D73" s="24" t="s">
        <v>110</v>
      </c>
      <c r="E73" s="23" t="s">
        <v>148</v>
      </c>
      <c r="F73" s="23" t="s">
        <v>149</v>
      </c>
      <c r="G73" s="8" t="s">
        <v>150</v>
      </c>
      <c r="H73" s="25"/>
      <c r="I73" s="23" t="n">
        <v>60</v>
      </c>
      <c r="J73" s="26"/>
      <c r="K73" s="27"/>
      <c r="L73" s="26"/>
    </row>
    <row r="74" customFormat="false" ht="15" hidden="false" customHeight="true" outlineLevel="0" collapsed="false">
      <c r="A74" s="22" t="n">
        <v>46386</v>
      </c>
      <c r="B74" s="23" t="s">
        <v>151</v>
      </c>
      <c r="C74" s="23" t="n">
        <v>11</v>
      </c>
      <c r="D74" s="24" t="s">
        <v>110</v>
      </c>
      <c r="E74" s="23" t="s">
        <v>145</v>
      </c>
      <c r="F74" s="23" t="s">
        <v>117</v>
      </c>
      <c r="G74" s="8" t="s">
        <v>184</v>
      </c>
      <c r="H74" s="25" t="n">
        <v>7.3</v>
      </c>
      <c r="I74" s="23"/>
      <c r="J74" s="26"/>
      <c r="K74" s="27"/>
      <c r="L74" s="26"/>
    </row>
    <row r="75" customFormat="false" ht="15" hidden="false" customHeight="true" outlineLevel="0" collapsed="false">
      <c r="A75" s="22" t="n">
        <v>46387</v>
      </c>
      <c r="B75" s="23" t="s">
        <v>152</v>
      </c>
      <c r="C75" s="23" t="n">
        <v>11</v>
      </c>
      <c r="D75" s="24" t="s">
        <v>110</v>
      </c>
      <c r="E75" s="23" t="s">
        <v>27</v>
      </c>
      <c r="F75" s="23" t="s">
        <v>149</v>
      </c>
      <c r="G75" s="8" t="s">
        <v>153</v>
      </c>
      <c r="H75" s="25"/>
      <c r="I75" s="23"/>
      <c r="J75" s="26"/>
      <c r="K75" s="27"/>
      <c r="L75" s="26"/>
    </row>
    <row r="76" customFormat="false" ht="26.25" hidden="false" customHeight="true" outlineLevel="0" collapsed="false">
      <c r="A76" s="22" t="n">
        <v>46388</v>
      </c>
      <c r="B76" s="23" t="s">
        <v>154</v>
      </c>
      <c r="C76" s="23" t="n">
        <v>11</v>
      </c>
      <c r="D76" s="24" t="s">
        <v>110</v>
      </c>
      <c r="E76" s="23" t="s">
        <v>148</v>
      </c>
      <c r="F76" s="23" t="s">
        <v>149</v>
      </c>
      <c r="G76" s="8" t="s">
        <v>150</v>
      </c>
      <c r="H76" s="25"/>
      <c r="I76" s="23" t="n">
        <v>60</v>
      </c>
      <c r="J76" s="26"/>
      <c r="K76" s="27"/>
      <c r="L76" s="26"/>
    </row>
    <row r="77" customFormat="false" ht="15" hidden="false" customHeight="true" outlineLevel="0" collapsed="false">
      <c r="A77" s="22" t="n">
        <v>46389</v>
      </c>
      <c r="B77" s="23" t="s">
        <v>155</v>
      </c>
      <c r="C77" s="23" t="n">
        <v>11</v>
      </c>
      <c r="D77" s="24" t="s">
        <v>110</v>
      </c>
      <c r="E77" s="23" t="s">
        <v>27</v>
      </c>
      <c r="F77" s="23" t="s">
        <v>149</v>
      </c>
      <c r="G77" s="8" t="s">
        <v>156</v>
      </c>
      <c r="H77" s="25"/>
      <c r="I77" s="23"/>
      <c r="J77" s="26"/>
      <c r="K77" s="27"/>
      <c r="L77" s="26"/>
    </row>
    <row r="78" customFormat="false" ht="15" hidden="false" customHeight="true" outlineLevel="0" collapsed="false">
      <c r="A78" s="28" t="n">
        <v>46390</v>
      </c>
      <c r="B78" s="29" t="s">
        <v>157</v>
      </c>
      <c r="C78" s="29" t="n">
        <v>11</v>
      </c>
      <c r="D78" s="30" t="s">
        <v>110</v>
      </c>
      <c r="E78" s="29" t="s">
        <v>145</v>
      </c>
      <c r="F78" s="29" t="s">
        <v>182</v>
      </c>
      <c r="G78" s="31" t="s">
        <v>183</v>
      </c>
      <c r="H78" s="32" t="n">
        <v>13</v>
      </c>
      <c r="I78" s="29"/>
      <c r="J78" s="33"/>
      <c r="K78" s="34"/>
      <c r="L78" s="33"/>
    </row>
    <row r="79" customFormat="false" ht="15" hidden="false" customHeight="true" outlineLevel="0" collapsed="false">
      <c r="A79" s="22" t="n">
        <v>46391</v>
      </c>
      <c r="B79" s="23" t="s">
        <v>144</v>
      </c>
      <c r="C79" s="23" t="n">
        <v>12</v>
      </c>
      <c r="D79" s="24" t="s">
        <v>110</v>
      </c>
      <c r="E79" s="23" t="s">
        <v>145</v>
      </c>
      <c r="F79" s="23" t="s">
        <v>163</v>
      </c>
      <c r="G79" s="8" t="s">
        <v>164</v>
      </c>
      <c r="H79" s="25" t="n">
        <v>5</v>
      </c>
      <c r="I79" s="23"/>
      <c r="J79" s="26"/>
      <c r="K79" s="27"/>
      <c r="L79" s="26"/>
    </row>
    <row r="80" customFormat="false" ht="26.25" hidden="false" customHeight="true" outlineLevel="0" collapsed="false">
      <c r="A80" s="22" t="n">
        <v>46392</v>
      </c>
      <c r="B80" s="23" t="s">
        <v>147</v>
      </c>
      <c r="C80" s="23" t="n">
        <v>12</v>
      </c>
      <c r="D80" s="24" t="s">
        <v>110</v>
      </c>
      <c r="E80" s="23" t="s">
        <v>148</v>
      </c>
      <c r="F80" s="23" t="s">
        <v>149</v>
      </c>
      <c r="G80" s="8" t="s">
        <v>150</v>
      </c>
      <c r="H80" s="25"/>
      <c r="I80" s="23" t="n">
        <v>60</v>
      </c>
      <c r="J80" s="26"/>
      <c r="K80" s="27"/>
      <c r="L80" s="26"/>
    </row>
    <row r="81" customFormat="false" ht="15" hidden="false" customHeight="true" outlineLevel="0" collapsed="false">
      <c r="A81" s="22" t="n">
        <v>46393</v>
      </c>
      <c r="B81" s="23" t="s">
        <v>151</v>
      </c>
      <c r="C81" s="23" t="n">
        <v>12</v>
      </c>
      <c r="D81" s="24" t="s">
        <v>110</v>
      </c>
      <c r="E81" s="23" t="s">
        <v>145</v>
      </c>
      <c r="F81" s="23" t="s">
        <v>114</v>
      </c>
      <c r="G81" s="8" t="s">
        <v>169</v>
      </c>
      <c r="H81" s="25" t="n">
        <v>6.3</v>
      </c>
      <c r="I81" s="23"/>
      <c r="J81" s="26"/>
      <c r="K81" s="27"/>
      <c r="L81" s="26"/>
    </row>
    <row r="82" customFormat="false" ht="15" hidden="false" customHeight="true" outlineLevel="0" collapsed="false">
      <c r="A82" s="22" t="n">
        <v>46394</v>
      </c>
      <c r="B82" s="23" t="s">
        <v>152</v>
      </c>
      <c r="C82" s="23" t="n">
        <v>12</v>
      </c>
      <c r="D82" s="24" t="s">
        <v>110</v>
      </c>
      <c r="E82" s="23" t="s">
        <v>27</v>
      </c>
      <c r="F82" s="23" t="s">
        <v>149</v>
      </c>
      <c r="G82" s="8" t="s">
        <v>153</v>
      </c>
      <c r="H82" s="25"/>
      <c r="I82" s="23"/>
      <c r="J82" s="26"/>
      <c r="K82" s="27"/>
      <c r="L82" s="26"/>
    </row>
    <row r="83" customFormat="false" ht="26.25" hidden="false" customHeight="true" outlineLevel="0" collapsed="false">
      <c r="A83" s="22" t="n">
        <v>46395</v>
      </c>
      <c r="B83" s="23" t="s">
        <v>154</v>
      </c>
      <c r="C83" s="23" t="n">
        <v>12</v>
      </c>
      <c r="D83" s="24" t="s">
        <v>110</v>
      </c>
      <c r="E83" s="23" t="s">
        <v>148</v>
      </c>
      <c r="F83" s="23" t="s">
        <v>149</v>
      </c>
      <c r="G83" s="8" t="s">
        <v>150</v>
      </c>
      <c r="H83" s="25"/>
      <c r="I83" s="23" t="n">
        <v>60</v>
      </c>
      <c r="J83" s="26"/>
      <c r="K83" s="27"/>
      <c r="L83" s="26"/>
    </row>
    <row r="84" customFormat="false" ht="15" hidden="false" customHeight="true" outlineLevel="0" collapsed="false">
      <c r="A84" s="22" t="n">
        <v>46396</v>
      </c>
      <c r="B84" s="23" t="s">
        <v>155</v>
      </c>
      <c r="C84" s="23" t="n">
        <v>12</v>
      </c>
      <c r="D84" s="24" t="s">
        <v>110</v>
      </c>
      <c r="E84" s="35" t="s">
        <v>167</v>
      </c>
      <c r="F84" s="35" t="s">
        <v>149</v>
      </c>
      <c r="G84" s="36" t="s">
        <v>168</v>
      </c>
      <c r="H84" s="25"/>
      <c r="I84" s="23"/>
      <c r="J84" s="26"/>
      <c r="K84" s="27"/>
      <c r="L84" s="26"/>
    </row>
    <row r="85" customFormat="false" ht="15" hidden="false" customHeight="true" outlineLevel="0" collapsed="false">
      <c r="A85" s="28" t="n">
        <v>46397</v>
      </c>
      <c r="B85" s="29" t="s">
        <v>157</v>
      </c>
      <c r="C85" s="29" t="n">
        <v>12</v>
      </c>
      <c r="D85" s="30" t="s">
        <v>110</v>
      </c>
      <c r="E85" s="29" t="s">
        <v>145</v>
      </c>
      <c r="F85" s="29" t="s">
        <v>170</v>
      </c>
      <c r="G85" s="31" t="s">
        <v>171</v>
      </c>
      <c r="H85" s="32" t="n">
        <v>10</v>
      </c>
      <c r="I85" s="29"/>
      <c r="J85" s="33"/>
      <c r="K85" s="34"/>
      <c r="L85" s="33"/>
    </row>
    <row r="86" customFormat="false" ht="15" hidden="false" customHeight="true" outlineLevel="0" collapsed="false">
      <c r="A86" s="22" t="n">
        <v>46398</v>
      </c>
      <c r="B86" s="23" t="s">
        <v>144</v>
      </c>
      <c r="C86" s="23" t="n">
        <v>13</v>
      </c>
      <c r="D86" s="37" t="s">
        <v>118</v>
      </c>
      <c r="E86" s="23" t="s">
        <v>145</v>
      </c>
      <c r="F86" s="23" t="s">
        <v>163</v>
      </c>
      <c r="G86" s="8" t="s">
        <v>164</v>
      </c>
      <c r="H86" s="25" t="n">
        <v>5</v>
      </c>
      <c r="I86" s="23"/>
      <c r="J86" s="26"/>
      <c r="K86" s="27"/>
      <c r="L86" s="26"/>
    </row>
    <row r="87" customFormat="false" ht="26.25" hidden="false" customHeight="true" outlineLevel="0" collapsed="false">
      <c r="A87" s="22" t="n">
        <v>46399</v>
      </c>
      <c r="B87" s="23" t="s">
        <v>147</v>
      </c>
      <c r="C87" s="23" t="n">
        <v>13</v>
      </c>
      <c r="D87" s="37" t="s">
        <v>118</v>
      </c>
      <c r="E87" s="23" t="s">
        <v>148</v>
      </c>
      <c r="F87" s="23" t="s">
        <v>149</v>
      </c>
      <c r="G87" s="8" t="s">
        <v>150</v>
      </c>
      <c r="H87" s="25"/>
      <c r="I87" s="23" t="n">
        <v>60</v>
      </c>
      <c r="J87" s="26"/>
      <c r="K87" s="27"/>
      <c r="L87" s="26"/>
    </row>
    <row r="88" customFormat="false" ht="15" hidden="false" customHeight="true" outlineLevel="0" collapsed="false">
      <c r="A88" s="22" t="n">
        <v>46400</v>
      </c>
      <c r="B88" s="23" t="s">
        <v>151</v>
      </c>
      <c r="C88" s="23" t="n">
        <v>13</v>
      </c>
      <c r="D88" s="37" t="s">
        <v>118</v>
      </c>
      <c r="E88" s="23" t="s">
        <v>145</v>
      </c>
      <c r="F88" s="23" t="s">
        <v>119</v>
      </c>
      <c r="G88" s="8" t="s">
        <v>185</v>
      </c>
      <c r="H88" s="25" t="n">
        <v>7</v>
      </c>
      <c r="I88" s="23"/>
      <c r="J88" s="26"/>
      <c r="K88" s="27"/>
      <c r="L88" s="26"/>
    </row>
    <row r="89" customFormat="false" ht="15" hidden="false" customHeight="true" outlineLevel="0" collapsed="false">
      <c r="A89" s="22" t="n">
        <v>46401</v>
      </c>
      <c r="B89" s="23" t="s">
        <v>152</v>
      </c>
      <c r="C89" s="23" t="n">
        <v>13</v>
      </c>
      <c r="D89" s="37" t="s">
        <v>118</v>
      </c>
      <c r="E89" s="23" t="s">
        <v>186</v>
      </c>
      <c r="F89" s="23" t="s">
        <v>111</v>
      </c>
      <c r="G89" s="8" t="s">
        <v>187</v>
      </c>
      <c r="H89" s="25" t="n">
        <v>4</v>
      </c>
      <c r="I89" s="23"/>
      <c r="J89" s="26"/>
      <c r="K89" s="27"/>
      <c r="L89" s="26"/>
    </row>
    <row r="90" customFormat="false" ht="26.25" hidden="false" customHeight="true" outlineLevel="0" collapsed="false">
      <c r="A90" s="22" t="n">
        <v>46402</v>
      </c>
      <c r="B90" s="23" t="s">
        <v>154</v>
      </c>
      <c r="C90" s="23" t="n">
        <v>13</v>
      </c>
      <c r="D90" s="37" t="s">
        <v>118</v>
      </c>
      <c r="E90" s="23" t="s">
        <v>148</v>
      </c>
      <c r="F90" s="23" t="s">
        <v>149</v>
      </c>
      <c r="G90" s="8" t="s">
        <v>150</v>
      </c>
      <c r="H90" s="25"/>
      <c r="I90" s="23" t="n">
        <v>60</v>
      </c>
      <c r="J90" s="26"/>
      <c r="K90" s="27"/>
      <c r="L90" s="26"/>
    </row>
    <row r="91" customFormat="false" ht="15" hidden="false" customHeight="true" outlineLevel="0" collapsed="false">
      <c r="A91" s="22" t="n">
        <v>46403</v>
      </c>
      <c r="B91" s="23" t="s">
        <v>155</v>
      </c>
      <c r="C91" s="23" t="n">
        <v>13</v>
      </c>
      <c r="D91" s="37" t="s">
        <v>118</v>
      </c>
      <c r="E91" s="23" t="s">
        <v>27</v>
      </c>
      <c r="F91" s="23" t="s">
        <v>149</v>
      </c>
      <c r="G91" s="8" t="s">
        <v>153</v>
      </c>
      <c r="H91" s="25"/>
      <c r="I91" s="23"/>
      <c r="J91" s="26"/>
      <c r="K91" s="27"/>
      <c r="L91" s="26"/>
    </row>
    <row r="92" customFormat="false" ht="15" hidden="false" customHeight="true" outlineLevel="0" collapsed="false">
      <c r="A92" s="28" t="n">
        <v>46404</v>
      </c>
      <c r="B92" s="29" t="s">
        <v>157</v>
      </c>
      <c r="C92" s="29" t="n">
        <v>13</v>
      </c>
      <c r="D92" s="38" t="s">
        <v>118</v>
      </c>
      <c r="E92" s="29" t="s">
        <v>145</v>
      </c>
      <c r="F92" s="29" t="s">
        <v>178</v>
      </c>
      <c r="G92" s="31" t="s">
        <v>179</v>
      </c>
      <c r="H92" s="32" t="n">
        <v>12</v>
      </c>
      <c r="I92" s="29"/>
      <c r="J92" s="33"/>
      <c r="K92" s="34"/>
      <c r="L92" s="33"/>
    </row>
    <row r="93" customFormat="false" ht="15" hidden="false" customHeight="true" outlineLevel="0" collapsed="false">
      <c r="A93" s="22" t="n">
        <v>46405</v>
      </c>
      <c r="B93" s="23" t="s">
        <v>144</v>
      </c>
      <c r="C93" s="23" t="n">
        <v>14</v>
      </c>
      <c r="D93" s="37" t="s">
        <v>118</v>
      </c>
      <c r="E93" s="23" t="s">
        <v>145</v>
      </c>
      <c r="F93" s="23" t="s">
        <v>163</v>
      </c>
      <c r="G93" s="8" t="s">
        <v>164</v>
      </c>
      <c r="H93" s="25" t="n">
        <v>5</v>
      </c>
      <c r="I93" s="23"/>
      <c r="J93" s="26"/>
      <c r="K93" s="27"/>
      <c r="L93" s="26"/>
    </row>
    <row r="94" customFormat="false" ht="26.25" hidden="false" customHeight="true" outlineLevel="0" collapsed="false">
      <c r="A94" s="22" t="n">
        <v>46406</v>
      </c>
      <c r="B94" s="23" t="s">
        <v>147</v>
      </c>
      <c r="C94" s="23" t="n">
        <v>14</v>
      </c>
      <c r="D94" s="37" t="s">
        <v>118</v>
      </c>
      <c r="E94" s="23" t="s">
        <v>148</v>
      </c>
      <c r="F94" s="23" t="s">
        <v>149</v>
      </c>
      <c r="G94" s="8" t="s">
        <v>150</v>
      </c>
      <c r="H94" s="25"/>
      <c r="I94" s="23" t="n">
        <v>60</v>
      </c>
      <c r="J94" s="26"/>
      <c r="K94" s="27"/>
      <c r="L94" s="26"/>
    </row>
    <row r="95" customFormat="false" ht="15" hidden="false" customHeight="true" outlineLevel="0" collapsed="false">
      <c r="A95" s="22" t="n">
        <v>46407</v>
      </c>
      <c r="B95" s="23" t="s">
        <v>151</v>
      </c>
      <c r="C95" s="23" t="n">
        <v>14</v>
      </c>
      <c r="D95" s="37" t="s">
        <v>118</v>
      </c>
      <c r="E95" s="23" t="s">
        <v>145</v>
      </c>
      <c r="F95" s="23" t="s">
        <v>120</v>
      </c>
      <c r="G95" s="8" t="s">
        <v>188</v>
      </c>
      <c r="H95" s="25" t="n">
        <v>8</v>
      </c>
      <c r="I95" s="23"/>
      <c r="J95" s="26"/>
      <c r="K95" s="27"/>
      <c r="L95" s="26"/>
    </row>
    <row r="96" customFormat="false" ht="15" hidden="false" customHeight="true" outlineLevel="0" collapsed="false">
      <c r="A96" s="22" t="n">
        <v>46408</v>
      </c>
      <c r="B96" s="23" t="s">
        <v>152</v>
      </c>
      <c r="C96" s="23" t="n">
        <v>14</v>
      </c>
      <c r="D96" s="37" t="s">
        <v>118</v>
      </c>
      <c r="E96" s="23" t="s">
        <v>186</v>
      </c>
      <c r="F96" s="23" t="s">
        <v>163</v>
      </c>
      <c r="G96" s="8" t="s">
        <v>189</v>
      </c>
      <c r="H96" s="25" t="n">
        <v>5</v>
      </c>
      <c r="I96" s="23"/>
      <c r="J96" s="26"/>
      <c r="K96" s="27"/>
      <c r="L96" s="26"/>
    </row>
    <row r="97" customFormat="false" ht="26.25" hidden="false" customHeight="true" outlineLevel="0" collapsed="false">
      <c r="A97" s="22" t="n">
        <v>46409</v>
      </c>
      <c r="B97" s="23" t="s">
        <v>154</v>
      </c>
      <c r="C97" s="23" t="n">
        <v>14</v>
      </c>
      <c r="D97" s="37" t="s">
        <v>118</v>
      </c>
      <c r="E97" s="23" t="s">
        <v>148</v>
      </c>
      <c r="F97" s="23" t="s">
        <v>149</v>
      </c>
      <c r="G97" s="8" t="s">
        <v>150</v>
      </c>
      <c r="H97" s="25"/>
      <c r="I97" s="23" t="n">
        <v>60</v>
      </c>
      <c r="J97" s="26"/>
      <c r="K97" s="27"/>
      <c r="L97" s="26"/>
    </row>
    <row r="98" customFormat="false" ht="15" hidden="false" customHeight="true" outlineLevel="0" collapsed="false">
      <c r="A98" s="22" t="n">
        <v>46410</v>
      </c>
      <c r="B98" s="23" t="s">
        <v>155</v>
      </c>
      <c r="C98" s="23" t="n">
        <v>14</v>
      </c>
      <c r="D98" s="37" t="s">
        <v>118</v>
      </c>
      <c r="E98" s="23" t="s">
        <v>27</v>
      </c>
      <c r="F98" s="23" t="s">
        <v>149</v>
      </c>
      <c r="G98" s="8" t="s">
        <v>153</v>
      </c>
      <c r="H98" s="25"/>
      <c r="I98" s="23"/>
      <c r="J98" s="26"/>
      <c r="K98" s="27"/>
      <c r="L98" s="26"/>
    </row>
    <row r="99" customFormat="false" ht="15" hidden="false" customHeight="true" outlineLevel="0" collapsed="false">
      <c r="A99" s="28" t="n">
        <v>46411</v>
      </c>
      <c r="B99" s="29" t="s">
        <v>157</v>
      </c>
      <c r="C99" s="29" t="n">
        <v>14</v>
      </c>
      <c r="D99" s="38" t="s">
        <v>118</v>
      </c>
      <c r="E99" s="29" t="s">
        <v>145</v>
      </c>
      <c r="F99" s="29" t="s">
        <v>182</v>
      </c>
      <c r="G99" s="31" t="s">
        <v>183</v>
      </c>
      <c r="H99" s="32" t="n">
        <v>13</v>
      </c>
      <c r="I99" s="29"/>
      <c r="J99" s="33"/>
      <c r="K99" s="34"/>
      <c r="L99" s="33"/>
    </row>
    <row r="100" customFormat="false" ht="15" hidden="false" customHeight="true" outlineLevel="0" collapsed="false">
      <c r="A100" s="22" t="n">
        <v>46412</v>
      </c>
      <c r="B100" s="23" t="s">
        <v>144</v>
      </c>
      <c r="C100" s="23" t="n">
        <v>15</v>
      </c>
      <c r="D100" s="37" t="s">
        <v>118</v>
      </c>
      <c r="E100" s="23" t="s">
        <v>145</v>
      </c>
      <c r="F100" s="23" t="s">
        <v>175</v>
      </c>
      <c r="G100" s="8" t="s">
        <v>176</v>
      </c>
      <c r="H100" s="25" t="n">
        <v>6</v>
      </c>
      <c r="I100" s="23"/>
      <c r="J100" s="26"/>
      <c r="K100" s="27"/>
      <c r="L100" s="26"/>
    </row>
    <row r="101" customFormat="false" ht="26.25" hidden="false" customHeight="true" outlineLevel="0" collapsed="false">
      <c r="A101" s="22" t="n">
        <v>46413</v>
      </c>
      <c r="B101" s="23" t="s">
        <v>147</v>
      </c>
      <c r="C101" s="23" t="n">
        <v>15</v>
      </c>
      <c r="D101" s="37" t="s">
        <v>118</v>
      </c>
      <c r="E101" s="23" t="s">
        <v>148</v>
      </c>
      <c r="F101" s="23" t="s">
        <v>149</v>
      </c>
      <c r="G101" s="8" t="s">
        <v>150</v>
      </c>
      <c r="H101" s="25"/>
      <c r="I101" s="23" t="n">
        <v>60</v>
      </c>
      <c r="J101" s="26"/>
      <c r="K101" s="27"/>
      <c r="L101" s="26"/>
    </row>
    <row r="102" customFormat="false" ht="15" hidden="false" customHeight="true" outlineLevel="0" collapsed="false">
      <c r="A102" s="22" t="n">
        <v>46414</v>
      </c>
      <c r="B102" s="23" t="s">
        <v>151</v>
      </c>
      <c r="C102" s="23" t="n">
        <v>15</v>
      </c>
      <c r="D102" s="37" t="s">
        <v>118</v>
      </c>
      <c r="E102" s="23" t="s">
        <v>145</v>
      </c>
      <c r="F102" s="23" t="s">
        <v>121</v>
      </c>
      <c r="G102" s="8" t="s">
        <v>190</v>
      </c>
      <c r="H102" s="25" t="n">
        <v>9</v>
      </c>
      <c r="I102" s="23"/>
      <c r="J102" s="26"/>
      <c r="K102" s="27"/>
      <c r="L102" s="26"/>
    </row>
    <row r="103" customFormat="false" ht="15" hidden="false" customHeight="true" outlineLevel="0" collapsed="false">
      <c r="A103" s="22" t="n">
        <v>46415</v>
      </c>
      <c r="B103" s="23" t="s">
        <v>152</v>
      </c>
      <c r="C103" s="23" t="n">
        <v>15</v>
      </c>
      <c r="D103" s="37" t="s">
        <v>118</v>
      </c>
      <c r="E103" s="23" t="s">
        <v>186</v>
      </c>
      <c r="F103" s="23" t="s">
        <v>163</v>
      </c>
      <c r="G103" s="8" t="s">
        <v>189</v>
      </c>
      <c r="H103" s="25" t="n">
        <v>5</v>
      </c>
      <c r="I103" s="23"/>
      <c r="J103" s="26"/>
      <c r="K103" s="27"/>
      <c r="L103" s="26"/>
    </row>
    <row r="104" customFormat="false" ht="26.25" hidden="false" customHeight="true" outlineLevel="0" collapsed="false">
      <c r="A104" s="22" t="n">
        <v>46416</v>
      </c>
      <c r="B104" s="23" t="s">
        <v>154</v>
      </c>
      <c r="C104" s="23" t="n">
        <v>15</v>
      </c>
      <c r="D104" s="37" t="s">
        <v>118</v>
      </c>
      <c r="E104" s="23" t="s">
        <v>148</v>
      </c>
      <c r="F104" s="23" t="s">
        <v>149</v>
      </c>
      <c r="G104" s="8" t="s">
        <v>150</v>
      </c>
      <c r="H104" s="25"/>
      <c r="I104" s="23" t="n">
        <v>60</v>
      </c>
      <c r="J104" s="26"/>
      <c r="K104" s="27"/>
      <c r="L104" s="26"/>
    </row>
    <row r="105" customFormat="false" ht="15" hidden="false" customHeight="true" outlineLevel="0" collapsed="false">
      <c r="A105" s="22" t="n">
        <v>46417</v>
      </c>
      <c r="B105" s="23" t="s">
        <v>155</v>
      </c>
      <c r="C105" s="23" t="n">
        <v>15</v>
      </c>
      <c r="D105" s="37" t="s">
        <v>118</v>
      </c>
      <c r="E105" s="23" t="s">
        <v>27</v>
      </c>
      <c r="F105" s="23" t="s">
        <v>149</v>
      </c>
      <c r="G105" s="8" t="s">
        <v>153</v>
      </c>
      <c r="H105" s="25"/>
      <c r="I105" s="23"/>
      <c r="J105" s="26"/>
      <c r="K105" s="27"/>
      <c r="L105" s="26"/>
    </row>
    <row r="106" customFormat="false" ht="15" hidden="false" customHeight="true" outlineLevel="0" collapsed="false">
      <c r="A106" s="28" t="n">
        <v>46418</v>
      </c>
      <c r="B106" s="29" t="s">
        <v>157</v>
      </c>
      <c r="C106" s="29" t="n">
        <v>15</v>
      </c>
      <c r="D106" s="38" t="s">
        <v>118</v>
      </c>
      <c r="E106" s="29" t="s">
        <v>145</v>
      </c>
      <c r="F106" s="29" t="s">
        <v>191</v>
      </c>
      <c r="G106" s="31" t="s">
        <v>192</v>
      </c>
      <c r="H106" s="32" t="n">
        <v>14</v>
      </c>
      <c r="I106" s="29"/>
      <c r="J106" s="33"/>
      <c r="K106" s="34"/>
      <c r="L106" s="33"/>
    </row>
    <row r="107" customFormat="false" ht="15" hidden="false" customHeight="true" outlineLevel="0" collapsed="false">
      <c r="A107" s="22" t="n">
        <v>46419</v>
      </c>
      <c r="B107" s="23" t="s">
        <v>144</v>
      </c>
      <c r="C107" s="23" t="n">
        <v>16</v>
      </c>
      <c r="D107" s="37" t="s">
        <v>118</v>
      </c>
      <c r="E107" s="23" t="s">
        <v>145</v>
      </c>
      <c r="F107" s="23" t="s">
        <v>163</v>
      </c>
      <c r="G107" s="8" t="s">
        <v>164</v>
      </c>
      <c r="H107" s="25" t="n">
        <v>5</v>
      </c>
      <c r="I107" s="23"/>
      <c r="J107" s="26"/>
      <c r="K107" s="27"/>
      <c r="L107" s="26"/>
    </row>
    <row r="108" customFormat="false" ht="26.25" hidden="false" customHeight="true" outlineLevel="0" collapsed="false">
      <c r="A108" s="22" t="n">
        <v>46420</v>
      </c>
      <c r="B108" s="23" t="s">
        <v>147</v>
      </c>
      <c r="C108" s="23" t="n">
        <v>16</v>
      </c>
      <c r="D108" s="37" t="s">
        <v>118</v>
      </c>
      <c r="E108" s="23" t="s">
        <v>148</v>
      </c>
      <c r="F108" s="23" t="s">
        <v>149</v>
      </c>
      <c r="G108" s="8" t="s">
        <v>150</v>
      </c>
      <c r="H108" s="25"/>
      <c r="I108" s="23" t="n">
        <v>60</v>
      </c>
      <c r="J108" s="26"/>
      <c r="K108" s="27"/>
      <c r="L108" s="26"/>
    </row>
    <row r="109" customFormat="false" ht="15" hidden="false" customHeight="true" outlineLevel="0" collapsed="false">
      <c r="A109" s="22" t="n">
        <v>46421</v>
      </c>
      <c r="B109" s="23" t="s">
        <v>151</v>
      </c>
      <c r="C109" s="23" t="n">
        <v>16</v>
      </c>
      <c r="D109" s="37" t="s">
        <v>118</v>
      </c>
      <c r="E109" s="23" t="s">
        <v>145</v>
      </c>
      <c r="F109" s="23" t="s">
        <v>114</v>
      </c>
      <c r="G109" s="8" t="s">
        <v>169</v>
      </c>
      <c r="H109" s="25" t="n">
        <v>6.3</v>
      </c>
      <c r="I109" s="23"/>
      <c r="J109" s="26"/>
      <c r="K109" s="27"/>
      <c r="L109" s="26"/>
    </row>
    <row r="110" customFormat="false" ht="15" hidden="false" customHeight="true" outlineLevel="0" collapsed="false">
      <c r="A110" s="22" t="n">
        <v>46422</v>
      </c>
      <c r="B110" s="23" t="s">
        <v>152</v>
      </c>
      <c r="C110" s="23" t="n">
        <v>16</v>
      </c>
      <c r="D110" s="37" t="s">
        <v>118</v>
      </c>
      <c r="E110" s="23" t="s">
        <v>186</v>
      </c>
      <c r="F110" s="23" t="s">
        <v>111</v>
      </c>
      <c r="G110" s="8" t="s">
        <v>187</v>
      </c>
      <c r="H110" s="25" t="n">
        <v>4</v>
      </c>
      <c r="I110" s="23"/>
      <c r="J110" s="26"/>
      <c r="K110" s="27"/>
      <c r="L110" s="26"/>
    </row>
    <row r="111" customFormat="false" ht="26.25" hidden="false" customHeight="true" outlineLevel="0" collapsed="false">
      <c r="A111" s="22" t="n">
        <v>46423</v>
      </c>
      <c r="B111" s="23" t="s">
        <v>154</v>
      </c>
      <c r="C111" s="23" t="n">
        <v>16</v>
      </c>
      <c r="D111" s="37" t="s">
        <v>118</v>
      </c>
      <c r="E111" s="23" t="s">
        <v>148</v>
      </c>
      <c r="F111" s="23" t="s">
        <v>149</v>
      </c>
      <c r="G111" s="8" t="s">
        <v>150</v>
      </c>
      <c r="H111" s="25"/>
      <c r="I111" s="23" t="n">
        <v>60</v>
      </c>
      <c r="J111" s="26"/>
      <c r="K111" s="27"/>
      <c r="L111" s="26"/>
    </row>
    <row r="112" customFormat="false" ht="15" hidden="false" customHeight="true" outlineLevel="0" collapsed="false">
      <c r="A112" s="22" t="n">
        <v>46424</v>
      </c>
      <c r="B112" s="23" t="s">
        <v>155</v>
      </c>
      <c r="C112" s="23" t="n">
        <v>16</v>
      </c>
      <c r="D112" s="37" t="s">
        <v>118</v>
      </c>
      <c r="E112" s="35" t="s">
        <v>167</v>
      </c>
      <c r="F112" s="35" t="s">
        <v>149</v>
      </c>
      <c r="G112" s="36" t="s">
        <v>168</v>
      </c>
      <c r="H112" s="25"/>
      <c r="I112" s="23"/>
      <c r="J112" s="26"/>
      <c r="K112" s="27"/>
      <c r="L112" s="26"/>
    </row>
    <row r="113" customFormat="false" ht="15" hidden="false" customHeight="true" outlineLevel="0" collapsed="false">
      <c r="A113" s="28" t="n">
        <v>46425</v>
      </c>
      <c r="B113" s="29" t="s">
        <v>157</v>
      </c>
      <c r="C113" s="29" t="n">
        <v>16</v>
      </c>
      <c r="D113" s="38" t="s">
        <v>118</v>
      </c>
      <c r="E113" s="29" t="s">
        <v>145</v>
      </c>
      <c r="F113" s="29" t="s">
        <v>173</v>
      </c>
      <c r="G113" s="31" t="s">
        <v>174</v>
      </c>
      <c r="H113" s="32" t="n">
        <v>11</v>
      </c>
      <c r="I113" s="29"/>
      <c r="J113" s="33"/>
      <c r="K113" s="34"/>
      <c r="L113" s="33"/>
    </row>
    <row r="114" customFormat="false" ht="15" hidden="false" customHeight="true" outlineLevel="0" collapsed="false">
      <c r="A114" s="22" t="n">
        <v>46426</v>
      </c>
      <c r="B114" s="23" t="s">
        <v>144</v>
      </c>
      <c r="C114" s="23" t="n">
        <v>17</v>
      </c>
      <c r="D114" s="37" t="s">
        <v>118</v>
      </c>
      <c r="E114" s="23" t="s">
        <v>145</v>
      </c>
      <c r="F114" s="23" t="s">
        <v>175</v>
      </c>
      <c r="G114" s="8" t="s">
        <v>176</v>
      </c>
      <c r="H114" s="25" t="n">
        <v>6</v>
      </c>
      <c r="I114" s="23"/>
      <c r="J114" s="26"/>
      <c r="K114" s="27"/>
      <c r="L114" s="26"/>
    </row>
    <row r="115" customFormat="false" ht="26.25" hidden="false" customHeight="true" outlineLevel="0" collapsed="false">
      <c r="A115" s="22" t="n">
        <v>46427</v>
      </c>
      <c r="B115" s="23" t="s">
        <v>147</v>
      </c>
      <c r="C115" s="23" t="n">
        <v>17</v>
      </c>
      <c r="D115" s="37" t="s">
        <v>118</v>
      </c>
      <c r="E115" s="23" t="s">
        <v>148</v>
      </c>
      <c r="F115" s="23" t="s">
        <v>149</v>
      </c>
      <c r="G115" s="8" t="s">
        <v>150</v>
      </c>
      <c r="H115" s="25"/>
      <c r="I115" s="23" t="n">
        <v>60</v>
      </c>
      <c r="J115" s="26"/>
      <c r="K115" s="27"/>
      <c r="L115" s="26"/>
    </row>
    <row r="116" customFormat="false" ht="15" hidden="false" customHeight="true" outlineLevel="0" collapsed="false">
      <c r="A116" s="22" t="n">
        <v>46428</v>
      </c>
      <c r="B116" s="23" t="s">
        <v>151</v>
      </c>
      <c r="C116" s="23" t="n">
        <v>17</v>
      </c>
      <c r="D116" s="37" t="s">
        <v>118</v>
      </c>
      <c r="E116" s="23" t="s">
        <v>145</v>
      </c>
      <c r="F116" s="23" t="s">
        <v>122</v>
      </c>
      <c r="G116" s="8" t="s">
        <v>193</v>
      </c>
      <c r="H116" s="25" t="n">
        <v>10</v>
      </c>
      <c r="I116" s="23"/>
      <c r="J116" s="26"/>
      <c r="K116" s="27"/>
      <c r="L116" s="26"/>
    </row>
    <row r="117" customFormat="false" ht="15" hidden="false" customHeight="true" outlineLevel="0" collapsed="false">
      <c r="A117" s="22" t="n">
        <v>46429</v>
      </c>
      <c r="B117" s="23" t="s">
        <v>152</v>
      </c>
      <c r="C117" s="23" t="n">
        <v>17</v>
      </c>
      <c r="D117" s="37" t="s">
        <v>118</v>
      </c>
      <c r="E117" s="23" t="s">
        <v>186</v>
      </c>
      <c r="F117" s="23" t="s">
        <v>175</v>
      </c>
      <c r="G117" s="8" t="s">
        <v>194</v>
      </c>
      <c r="H117" s="25" t="n">
        <v>6</v>
      </c>
      <c r="I117" s="23"/>
      <c r="J117" s="26"/>
      <c r="K117" s="27"/>
      <c r="L117" s="26"/>
    </row>
    <row r="118" customFormat="false" ht="26.25" hidden="false" customHeight="true" outlineLevel="0" collapsed="false">
      <c r="A118" s="22" t="n">
        <v>46430</v>
      </c>
      <c r="B118" s="23" t="s">
        <v>154</v>
      </c>
      <c r="C118" s="23" t="n">
        <v>17</v>
      </c>
      <c r="D118" s="37" t="s">
        <v>118</v>
      </c>
      <c r="E118" s="23" t="s">
        <v>148</v>
      </c>
      <c r="F118" s="23" t="s">
        <v>149</v>
      </c>
      <c r="G118" s="8" t="s">
        <v>150</v>
      </c>
      <c r="H118" s="25"/>
      <c r="I118" s="23" t="n">
        <v>60</v>
      </c>
      <c r="J118" s="26"/>
      <c r="K118" s="27"/>
      <c r="L118" s="26"/>
    </row>
    <row r="119" customFormat="false" ht="15" hidden="false" customHeight="true" outlineLevel="0" collapsed="false">
      <c r="A119" s="22" t="n">
        <v>46431</v>
      </c>
      <c r="B119" s="23" t="s">
        <v>155</v>
      </c>
      <c r="C119" s="23" t="n">
        <v>17</v>
      </c>
      <c r="D119" s="37" t="s">
        <v>118</v>
      </c>
      <c r="E119" s="23" t="s">
        <v>27</v>
      </c>
      <c r="F119" s="23" t="s">
        <v>149</v>
      </c>
      <c r="G119" s="8" t="s">
        <v>153</v>
      </c>
      <c r="H119" s="25"/>
      <c r="I119" s="23"/>
      <c r="J119" s="26"/>
      <c r="K119" s="27"/>
      <c r="L119" s="26"/>
    </row>
    <row r="120" customFormat="false" ht="15" hidden="false" customHeight="true" outlineLevel="0" collapsed="false">
      <c r="A120" s="28" t="n">
        <v>46432</v>
      </c>
      <c r="B120" s="29" t="s">
        <v>157</v>
      </c>
      <c r="C120" s="29" t="n">
        <v>17</v>
      </c>
      <c r="D120" s="38" t="s">
        <v>118</v>
      </c>
      <c r="E120" s="29" t="s">
        <v>145</v>
      </c>
      <c r="F120" s="29" t="s">
        <v>195</v>
      </c>
      <c r="G120" s="31" t="s">
        <v>196</v>
      </c>
      <c r="H120" s="32" t="n">
        <v>15</v>
      </c>
      <c r="I120" s="29"/>
      <c r="J120" s="33"/>
      <c r="K120" s="34"/>
      <c r="L120" s="33"/>
    </row>
    <row r="121" customFormat="false" ht="15" hidden="false" customHeight="true" outlineLevel="0" collapsed="false">
      <c r="A121" s="22" t="n">
        <v>46433</v>
      </c>
      <c r="B121" s="23" t="s">
        <v>144</v>
      </c>
      <c r="C121" s="23" t="n">
        <v>18</v>
      </c>
      <c r="D121" s="37" t="s">
        <v>118</v>
      </c>
      <c r="E121" s="23" t="s">
        <v>145</v>
      </c>
      <c r="F121" s="23" t="s">
        <v>180</v>
      </c>
      <c r="G121" s="8" t="s">
        <v>181</v>
      </c>
      <c r="H121" s="25" t="n">
        <v>7</v>
      </c>
      <c r="I121" s="23"/>
      <c r="J121" s="26"/>
      <c r="K121" s="27"/>
      <c r="L121" s="26"/>
    </row>
    <row r="122" customFormat="false" ht="26.25" hidden="false" customHeight="true" outlineLevel="0" collapsed="false">
      <c r="A122" s="22" t="n">
        <v>46434</v>
      </c>
      <c r="B122" s="23" t="s">
        <v>147</v>
      </c>
      <c r="C122" s="23" t="n">
        <v>18</v>
      </c>
      <c r="D122" s="37" t="s">
        <v>118</v>
      </c>
      <c r="E122" s="23" t="s">
        <v>148</v>
      </c>
      <c r="F122" s="23" t="s">
        <v>149</v>
      </c>
      <c r="G122" s="8" t="s">
        <v>150</v>
      </c>
      <c r="H122" s="25"/>
      <c r="I122" s="23" t="n">
        <v>60</v>
      </c>
      <c r="J122" s="26"/>
      <c r="K122" s="27"/>
      <c r="L122" s="26"/>
    </row>
    <row r="123" customFormat="false" ht="15" hidden="false" customHeight="true" outlineLevel="0" collapsed="false">
      <c r="A123" s="22" t="n">
        <v>46435</v>
      </c>
      <c r="B123" s="23" t="s">
        <v>151</v>
      </c>
      <c r="C123" s="23" t="n">
        <v>18</v>
      </c>
      <c r="D123" s="37" t="s">
        <v>118</v>
      </c>
      <c r="E123" s="23" t="s">
        <v>145</v>
      </c>
      <c r="F123" s="23" t="s">
        <v>122</v>
      </c>
      <c r="G123" s="8" t="s">
        <v>193</v>
      </c>
      <c r="H123" s="25" t="n">
        <v>10</v>
      </c>
      <c r="I123" s="23"/>
      <c r="J123" s="26"/>
      <c r="K123" s="27"/>
      <c r="L123" s="26"/>
    </row>
    <row r="124" customFormat="false" ht="15" hidden="false" customHeight="true" outlineLevel="0" collapsed="false">
      <c r="A124" s="22" t="n">
        <v>46436</v>
      </c>
      <c r="B124" s="23" t="s">
        <v>152</v>
      </c>
      <c r="C124" s="23" t="n">
        <v>18</v>
      </c>
      <c r="D124" s="37" t="s">
        <v>118</v>
      </c>
      <c r="E124" s="23" t="s">
        <v>186</v>
      </c>
      <c r="F124" s="23" t="s">
        <v>175</v>
      </c>
      <c r="G124" s="8" t="s">
        <v>194</v>
      </c>
      <c r="H124" s="25" t="n">
        <v>6</v>
      </c>
      <c r="I124" s="23"/>
      <c r="J124" s="26"/>
      <c r="K124" s="27"/>
      <c r="L124" s="26"/>
    </row>
    <row r="125" customFormat="false" ht="26.25" hidden="false" customHeight="true" outlineLevel="0" collapsed="false">
      <c r="A125" s="22" t="n">
        <v>46437</v>
      </c>
      <c r="B125" s="23" t="s">
        <v>154</v>
      </c>
      <c r="C125" s="23" t="n">
        <v>18</v>
      </c>
      <c r="D125" s="37" t="s">
        <v>118</v>
      </c>
      <c r="E125" s="23" t="s">
        <v>148</v>
      </c>
      <c r="F125" s="23" t="s">
        <v>149</v>
      </c>
      <c r="G125" s="8" t="s">
        <v>150</v>
      </c>
      <c r="H125" s="25"/>
      <c r="I125" s="23" t="n">
        <v>60</v>
      </c>
      <c r="J125" s="26"/>
      <c r="K125" s="27"/>
      <c r="L125" s="26"/>
    </row>
    <row r="126" customFormat="false" ht="15" hidden="false" customHeight="true" outlineLevel="0" collapsed="false">
      <c r="A126" s="22" t="n">
        <v>46438</v>
      </c>
      <c r="B126" s="23" t="s">
        <v>155</v>
      </c>
      <c r="C126" s="23" t="n">
        <v>18</v>
      </c>
      <c r="D126" s="37" t="s">
        <v>118</v>
      </c>
      <c r="E126" s="23" t="s">
        <v>27</v>
      </c>
      <c r="F126" s="23" t="s">
        <v>149</v>
      </c>
      <c r="G126" s="8" t="s">
        <v>153</v>
      </c>
      <c r="H126" s="25"/>
      <c r="I126" s="23"/>
      <c r="J126" s="26"/>
      <c r="K126" s="27"/>
      <c r="L126" s="26"/>
    </row>
    <row r="127" customFormat="false" ht="15" hidden="false" customHeight="true" outlineLevel="0" collapsed="false">
      <c r="A127" s="28" t="n">
        <v>46439</v>
      </c>
      <c r="B127" s="29" t="s">
        <v>157</v>
      </c>
      <c r="C127" s="29" t="n">
        <v>18</v>
      </c>
      <c r="D127" s="38" t="s">
        <v>118</v>
      </c>
      <c r="E127" s="29" t="s">
        <v>145</v>
      </c>
      <c r="F127" s="29" t="s">
        <v>195</v>
      </c>
      <c r="G127" s="31" t="s">
        <v>196</v>
      </c>
      <c r="H127" s="32" t="n">
        <v>15</v>
      </c>
      <c r="I127" s="29"/>
      <c r="J127" s="33"/>
      <c r="K127" s="34"/>
      <c r="L127" s="33"/>
    </row>
    <row r="128" customFormat="false" ht="15" hidden="false" customHeight="true" outlineLevel="0" collapsed="false">
      <c r="A128" s="22" t="n">
        <v>46440</v>
      </c>
      <c r="B128" s="23" t="s">
        <v>144</v>
      </c>
      <c r="C128" s="23" t="n">
        <v>19</v>
      </c>
      <c r="D128" s="39" t="s">
        <v>123</v>
      </c>
      <c r="E128" s="23" t="s">
        <v>145</v>
      </c>
      <c r="F128" s="23" t="s">
        <v>180</v>
      </c>
      <c r="G128" s="8" t="s">
        <v>181</v>
      </c>
      <c r="H128" s="25" t="n">
        <v>7</v>
      </c>
      <c r="I128" s="23"/>
      <c r="J128" s="26"/>
      <c r="K128" s="27"/>
      <c r="L128" s="26"/>
    </row>
    <row r="129" customFormat="false" ht="26.25" hidden="false" customHeight="true" outlineLevel="0" collapsed="false">
      <c r="A129" s="22" t="n">
        <v>46441</v>
      </c>
      <c r="B129" s="23" t="s">
        <v>147</v>
      </c>
      <c r="C129" s="23" t="n">
        <v>19</v>
      </c>
      <c r="D129" s="39" t="s">
        <v>123</v>
      </c>
      <c r="E129" s="23" t="s">
        <v>148</v>
      </c>
      <c r="F129" s="23" t="s">
        <v>149</v>
      </c>
      <c r="G129" s="8" t="s">
        <v>150</v>
      </c>
      <c r="H129" s="25"/>
      <c r="I129" s="23" t="n">
        <v>60</v>
      </c>
      <c r="J129" s="26"/>
      <c r="K129" s="27"/>
      <c r="L129" s="26"/>
    </row>
    <row r="130" customFormat="false" ht="15" hidden="false" customHeight="true" outlineLevel="0" collapsed="false">
      <c r="A130" s="22" t="n">
        <v>46442</v>
      </c>
      <c r="B130" s="23" t="s">
        <v>151</v>
      </c>
      <c r="C130" s="23" t="n">
        <v>19</v>
      </c>
      <c r="D130" s="39" t="s">
        <v>123</v>
      </c>
      <c r="E130" s="23" t="s">
        <v>145</v>
      </c>
      <c r="F130" s="23" t="s">
        <v>124</v>
      </c>
      <c r="G130" s="8" t="s">
        <v>197</v>
      </c>
      <c r="H130" s="25" t="n">
        <v>9.6</v>
      </c>
      <c r="I130" s="23"/>
      <c r="J130" s="26"/>
      <c r="K130" s="27"/>
      <c r="L130" s="26"/>
    </row>
    <row r="131" customFormat="false" ht="26.25" hidden="false" customHeight="true" outlineLevel="0" collapsed="false">
      <c r="A131" s="22" t="n">
        <v>46443</v>
      </c>
      <c r="B131" s="23" t="s">
        <v>152</v>
      </c>
      <c r="C131" s="23" t="n">
        <v>19</v>
      </c>
      <c r="D131" s="39" t="s">
        <v>123</v>
      </c>
      <c r="E131" s="23" t="s">
        <v>186</v>
      </c>
      <c r="F131" s="23" t="s">
        <v>114</v>
      </c>
      <c r="G131" s="8" t="s">
        <v>198</v>
      </c>
      <c r="H131" s="25" t="n">
        <v>6.3</v>
      </c>
      <c r="I131" s="23"/>
      <c r="J131" s="26"/>
      <c r="K131" s="27"/>
      <c r="L131" s="26"/>
    </row>
    <row r="132" customFormat="false" ht="26.25" hidden="false" customHeight="true" outlineLevel="0" collapsed="false">
      <c r="A132" s="22" t="n">
        <v>46444</v>
      </c>
      <c r="B132" s="23" t="s">
        <v>154</v>
      </c>
      <c r="C132" s="23" t="n">
        <v>19</v>
      </c>
      <c r="D132" s="39" t="s">
        <v>123</v>
      </c>
      <c r="E132" s="23" t="s">
        <v>148</v>
      </c>
      <c r="F132" s="23" t="s">
        <v>149</v>
      </c>
      <c r="G132" s="8" t="s">
        <v>150</v>
      </c>
      <c r="H132" s="25"/>
      <c r="I132" s="23" t="n">
        <v>60</v>
      </c>
      <c r="J132" s="26"/>
      <c r="K132" s="27"/>
      <c r="L132" s="26"/>
    </row>
    <row r="133" customFormat="false" ht="15" hidden="false" customHeight="true" outlineLevel="0" collapsed="false">
      <c r="A133" s="22" t="n">
        <v>46445</v>
      </c>
      <c r="B133" s="23" t="s">
        <v>155</v>
      </c>
      <c r="C133" s="23" t="n">
        <v>19</v>
      </c>
      <c r="D133" s="39" t="s">
        <v>123</v>
      </c>
      <c r="E133" s="23" t="s">
        <v>27</v>
      </c>
      <c r="F133" s="23" t="s">
        <v>149</v>
      </c>
      <c r="G133" s="8" t="s">
        <v>153</v>
      </c>
      <c r="H133" s="25"/>
      <c r="I133" s="23"/>
      <c r="J133" s="26"/>
      <c r="K133" s="27"/>
      <c r="L133" s="26"/>
    </row>
    <row r="134" customFormat="false" ht="15" hidden="false" customHeight="true" outlineLevel="0" collapsed="false">
      <c r="A134" s="28" t="n">
        <v>46446</v>
      </c>
      <c r="B134" s="29" t="s">
        <v>157</v>
      </c>
      <c r="C134" s="29" t="n">
        <v>19</v>
      </c>
      <c r="D134" s="40" t="s">
        <v>123</v>
      </c>
      <c r="E134" s="29" t="s">
        <v>145</v>
      </c>
      <c r="F134" s="29" t="s">
        <v>195</v>
      </c>
      <c r="G134" s="31" t="s">
        <v>196</v>
      </c>
      <c r="H134" s="32" t="n">
        <v>15</v>
      </c>
      <c r="I134" s="29"/>
      <c r="J134" s="33"/>
      <c r="K134" s="34"/>
      <c r="L134" s="33"/>
    </row>
    <row r="135" customFormat="false" ht="15" hidden="false" customHeight="true" outlineLevel="0" collapsed="false">
      <c r="A135" s="22" t="n">
        <v>46447</v>
      </c>
      <c r="B135" s="23" t="s">
        <v>144</v>
      </c>
      <c r="C135" s="23" t="n">
        <v>20</v>
      </c>
      <c r="D135" s="39" t="s">
        <v>123</v>
      </c>
      <c r="E135" s="23" t="s">
        <v>145</v>
      </c>
      <c r="F135" s="23" t="s">
        <v>163</v>
      </c>
      <c r="G135" s="8" t="s">
        <v>164</v>
      </c>
      <c r="H135" s="25" t="n">
        <v>5</v>
      </c>
      <c r="I135" s="23"/>
      <c r="J135" s="26"/>
      <c r="K135" s="27"/>
      <c r="L135" s="26"/>
    </row>
    <row r="136" customFormat="false" ht="26.25" hidden="false" customHeight="true" outlineLevel="0" collapsed="false">
      <c r="A136" s="22" t="n">
        <v>46448</v>
      </c>
      <c r="B136" s="23" t="s">
        <v>147</v>
      </c>
      <c r="C136" s="23" t="n">
        <v>20</v>
      </c>
      <c r="D136" s="39" t="s">
        <v>123</v>
      </c>
      <c r="E136" s="23" t="s">
        <v>148</v>
      </c>
      <c r="F136" s="23" t="s">
        <v>149</v>
      </c>
      <c r="G136" s="8" t="s">
        <v>150</v>
      </c>
      <c r="H136" s="25"/>
      <c r="I136" s="23" t="n">
        <v>60</v>
      </c>
      <c r="J136" s="26"/>
      <c r="K136" s="27"/>
      <c r="L136" s="26"/>
    </row>
    <row r="137" customFormat="false" ht="15" hidden="false" customHeight="true" outlineLevel="0" collapsed="false">
      <c r="A137" s="22" t="n">
        <v>46449</v>
      </c>
      <c r="B137" s="23" t="s">
        <v>151</v>
      </c>
      <c r="C137" s="23" t="n">
        <v>20</v>
      </c>
      <c r="D137" s="39" t="s">
        <v>123</v>
      </c>
      <c r="E137" s="23" t="s">
        <v>145</v>
      </c>
      <c r="F137" s="23" t="s">
        <v>125</v>
      </c>
      <c r="G137" s="8" t="s">
        <v>199</v>
      </c>
      <c r="H137" s="25" t="n">
        <v>7</v>
      </c>
      <c r="I137" s="23"/>
      <c r="J137" s="26"/>
      <c r="K137" s="27"/>
      <c r="L137" s="26"/>
    </row>
    <row r="138" customFormat="false" ht="15" hidden="false" customHeight="true" outlineLevel="0" collapsed="false">
      <c r="A138" s="22" t="n">
        <v>46450</v>
      </c>
      <c r="B138" s="23" t="s">
        <v>152</v>
      </c>
      <c r="C138" s="23" t="n">
        <v>20</v>
      </c>
      <c r="D138" s="39" t="s">
        <v>123</v>
      </c>
      <c r="E138" s="23" t="s">
        <v>186</v>
      </c>
      <c r="F138" s="23" t="s">
        <v>163</v>
      </c>
      <c r="G138" s="8" t="s">
        <v>189</v>
      </c>
      <c r="H138" s="25" t="n">
        <v>5</v>
      </c>
      <c r="I138" s="23"/>
      <c r="J138" s="26"/>
      <c r="K138" s="27"/>
      <c r="L138" s="26"/>
    </row>
    <row r="139" customFormat="false" ht="26.25" hidden="false" customHeight="true" outlineLevel="0" collapsed="false">
      <c r="A139" s="22" t="n">
        <v>46451</v>
      </c>
      <c r="B139" s="23" t="s">
        <v>154</v>
      </c>
      <c r="C139" s="23" t="n">
        <v>20</v>
      </c>
      <c r="D139" s="39" t="s">
        <v>123</v>
      </c>
      <c r="E139" s="23" t="s">
        <v>148</v>
      </c>
      <c r="F139" s="23" t="s">
        <v>149</v>
      </c>
      <c r="G139" s="8" t="s">
        <v>150</v>
      </c>
      <c r="H139" s="25"/>
      <c r="I139" s="23" t="n">
        <v>60</v>
      </c>
      <c r="J139" s="26"/>
      <c r="K139" s="27"/>
      <c r="L139" s="26"/>
    </row>
    <row r="140" customFormat="false" ht="15" hidden="false" customHeight="true" outlineLevel="0" collapsed="false">
      <c r="A140" s="22" t="n">
        <v>46452</v>
      </c>
      <c r="B140" s="23" t="s">
        <v>155</v>
      </c>
      <c r="C140" s="23" t="n">
        <v>20</v>
      </c>
      <c r="D140" s="39" t="s">
        <v>123</v>
      </c>
      <c r="E140" s="35" t="s">
        <v>167</v>
      </c>
      <c r="F140" s="35" t="s">
        <v>149</v>
      </c>
      <c r="G140" s="36" t="s">
        <v>168</v>
      </c>
      <c r="H140" s="25"/>
      <c r="I140" s="23"/>
      <c r="J140" s="26"/>
      <c r="K140" s="27"/>
      <c r="L140" s="26"/>
    </row>
    <row r="141" customFormat="false" ht="15" hidden="false" customHeight="true" outlineLevel="0" collapsed="false">
      <c r="A141" s="28" t="n">
        <v>46453</v>
      </c>
      <c r="B141" s="29" t="s">
        <v>157</v>
      </c>
      <c r="C141" s="29" t="n">
        <v>20</v>
      </c>
      <c r="D141" s="40" t="s">
        <v>123</v>
      </c>
      <c r="E141" s="29" t="s">
        <v>145</v>
      </c>
      <c r="F141" s="29" t="s">
        <v>178</v>
      </c>
      <c r="G141" s="31" t="s">
        <v>179</v>
      </c>
      <c r="H141" s="32" t="n">
        <v>12</v>
      </c>
      <c r="I141" s="29"/>
      <c r="J141" s="33"/>
      <c r="K141" s="34"/>
      <c r="L141" s="33"/>
    </row>
    <row r="142" customFormat="false" ht="15" hidden="false" customHeight="true" outlineLevel="0" collapsed="false">
      <c r="A142" s="22" t="n">
        <v>46454</v>
      </c>
      <c r="B142" s="23" t="s">
        <v>144</v>
      </c>
      <c r="C142" s="23" t="n">
        <v>21</v>
      </c>
      <c r="D142" s="39" t="s">
        <v>123</v>
      </c>
      <c r="E142" s="23" t="s">
        <v>145</v>
      </c>
      <c r="F142" s="23" t="s">
        <v>180</v>
      </c>
      <c r="G142" s="8" t="s">
        <v>181</v>
      </c>
      <c r="H142" s="25" t="n">
        <v>7</v>
      </c>
      <c r="I142" s="23"/>
      <c r="J142" s="26"/>
      <c r="K142" s="27"/>
      <c r="L142" s="26"/>
    </row>
    <row r="143" customFormat="false" ht="26.25" hidden="false" customHeight="true" outlineLevel="0" collapsed="false">
      <c r="A143" s="22" t="n">
        <v>46455</v>
      </c>
      <c r="B143" s="23" t="s">
        <v>147</v>
      </c>
      <c r="C143" s="23" t="n">
        <v>21</v>
      </c>
      <c r="D143" s="39" t="s">
        <v>123</v>
      </c>
      <c r="E143" s="23" t="s">
        <v>148</v>
      </c>
      <c r="F143" s="23" t="s">
        <v>149</v>
      </c>
      <c r="G143" s="8" t="s">
        <v>150</v>
      </c>
      <c r="H143" s="25"/>
      <c r="I143" s="23" t="n">
        <v>60</v>
      </c>
      <c r="J143" s="26"/>
      <c r="K143" s="27"/>
      <c r="L143" s="26"/>
    </row>
    <row r="144" customFormat="false" ht="15" hidden="false" customHeight="true" outlineLevel="0" collapsed="false">
      <c r="A144" s="22" t="n">
        <v>46456</v>
      </c>
      <c r="B144" s="23" t="s">
        <v>151</v>
      </c>
      <c r="C144" s="23" t="n">
        <v>21</v>
      </c>
      <c r="D144" s="39" t="s">
        <v>123</v>
      </c>
      <c r="E144" s="23" t="s">
        <v>145</v>
      </c>
      <c r="F144" s="23" t="s">
        <v>126</v>
      </c>
      <c r="G144" s="8" t="s">
        <v>197</v>
      </c>
      <c r="H144" s="25" t="n">
        <v>10.9</v>
      </c>
      <c r="I144" s="23"/>
      <c r="J144" s="26"/>
      <c r="K144" s="27"/>
      <c r="L144" s="26"/>
    </row>
    <row r="145" customFormat="false" ht="26.25" hidden="false" customHeight="true" outlineLevel="0" collapsed="false">
      <c r="A145" s="22" t="n">
        <v>46457</v>
      </c>
      <c r="B145" s="23" t="s">
        <v>152</v>
      </c>
      <c r="C145" s="23" t="n">
        <v>21</v>
      </c>
      <c r="D145" s="39" t="s">
        <v>123</v>
      </c>
      <c r="E145" s="23" t="s">
        <v>186</v>
      </c>
      <c r="F145" s="23" t="s">
        <v>117</v>
      </c>
      <c r="G145" s="8" t="s">
        <v>200</v>
      </c>
      <c r="H145" s="25" t="n">
        <v>7.3</v>
      </c>
      <c r="I145" s="23"/>
      <c r="J145" s="26"/>
      <c r="K145" s="27"/>
      <c r="L145" s="26"/>
    </row>
    <row r="146" customFormat="false" ht="26.25" hidden="false" customHeight="true" outlineLevel="0" collapsed="false">
      <c r="A146" s="22" t="n">
        <v>46458</v>
      </c>
      <c r="B146" s="23" t="s">
        <v>154</v>
      </c>
      <c r="C146" s="23" t="n">
        <v>21</v>
      </c>
      <c r="D146" s="39" t="s">
        <v>123</v>
      </c>
      <c r="E146" s="23" t="s">
        <v>148</v>
      </c>
      <c r="F146" s="23" t="s">
        <v>149</v>
      </c>
      <c r="G146" s="8" t="s">
        <v>150</v>
      </c>
      <c r="H146" s="25"/>
      <c r="I146" s="23" t="n">
        <v>60</v>
      </c>
      <c r="J146" s="26"/>
      <c r="K146" s="27"/>
      <c r="L146" s="26"/>
    </row>
    <row r="147" customFormat="false" ht="15" hidden="false" customHeight="true" outlineLevel="0" collapsed="false">
      <c r="A147" s="22" t="n">
        <v>46459</v>
      </c>
      <c r="B147" s="23" t="s">
        <v>155</v>
      </c>
      <c r="C147" s="23" t="n">
        <v>21</v>
      </c>
      <c r="D147" s="39" t="s">
        <v>123</v>
      </c>
      <c r="E147" s="23" t="s">
        <v>27</v>
      </c>
      <c r="F147" s="23" t="s">
        <v>149</v>
      </c>
      <c r="G147" s="8" t="s">
        <v>153</v>
      </c>
      <c r="H147" s="25"/>
      <c r="I147" s="23"/>
      <c r="J147" s="26"/>
      <c r="K147" s="27"/>
      <c r="L147" s="26"/>
    </row>
    <row r="148" customFormat="false" ht="15" hidden="false" customHeight="true" outlineLevel="0" collapsed="false">
      <c r="A148" s="28" t="n">
        <v>46460</v>
      </c>
      <c r="B148" s="29" t="s">
        <v>157</v>
      </c>
      <c r="C148" s="29" t="n">
        <v>21</v>
      </c>
      <c r="D148" s="40" t="s">
        <v>123</v>
      </c>
      <c r="E148" s="29" t="s">
        <v>145</v>
      </c>
      <c r="F148" s="29" t="s">
        <v>201</v>
      </c>
      <c r="G148" s="31" t="s">
        <v>202</v>
      </c>
      <c r="H148" s="32" t="n">
        <v>16</v>
      </c>
      <c r="I148" s="29"/>
      <c r="J148" s="33"/>
      <c r="K148" s="34"/>
      <c r="L148" s="33"/>
    </row>
    <row r="149" customFormat="false" ht="15" hidden="false" customHeight="true" outlineLevel="0" collapsed="false">
      <c r="A149" s="22" t="n">
        <v>46461</v>
      </c>
      <c r="B149" s="23" t="s">
        <v>144</v>
      </c>
      <c r="C149" s="23" t="n">
        <v>22</v>
      </c>
      <c r="D149" s="39" t="s">
        <v>123</v>
      </c>
      <c r="E149" s="23" t="s">
        <v>145</v>
      </c>
      <c r="F149" s="23" t="s">
        <v>180</v>
      </c>
      <c r="G149" s="8" t="s">
        <v>181</v>
      </c>
      <c r="H149" s="25" t="n">
        <v>7</v>
      </c>
      <c r="I149" s="23"/>
      <c r="J149" s="26"/>
      <c r="K149" s="27"/>
      <c r="L149" s="26"/>
    </row>
    <row r="150" customFormat="false" ht="26.25" hidden="false" customHeight="true" outlineLevel="0" collapsed="false">
      <c r="A150" s="22" t="n">
        <v>46462</v>
      </c>
      <c r="B150" s="23" t="s">
        <v>147</v>
      </c>
      <c r="C150" s="23" t="n">
        <v>22</v>
      </c>
      <c r="D150" s="39" t="s">
        <v>123</v>
      </c>
      <c r="E150" s="23" t="s">
        <v>148</v>
      </c>
      <c r="F150" s="23" t="s">
        <v>149</v>
      </c>
      <c r="G150" s="8" t="s">
        <v>150</v>
      </c>
      <c r="H150" s="25"/>
      <c r="I150" s="23" t="n">
        <v>60</v>
      </c>
      <c r="J150" s="26"/>
      <c r="K150" s="27"/>
      <c r="L150" s="26"/>
    </row>
    <row r="151" customFormat="false" ht="15" hidden="false" customHeight="true" outlineLevel="0" collapsed="false">
      <c r="A151" s="22" t="n">
        <v>46463</v>
      </c>
      <c r="B151" s="23" t="s">
        <v>151</v>
      </c>
      <c r="C151" s="23" t="n">
        <v>22</v>
      </c>
      <c r="D151" s="39" t="s">
        <v>123</v>
      </c>
      <c r="E151" s="23" t="s">
        <v>145</v>
      </c>
      <c r="F151" s="23" t="s">
        <v>127</v>
      </c>
      <c r="G151" s="8" t="s">
        <v>203</v>
      </c>
      <c r="H151" s="25" t="n">
        <v>11</v>
      </c>
      <c r="I151" s="23"/>
      <c r="J151" s="26"/>
      <c r="K151" s="27"/>
      <c r="L151" s="26"/>
    </row>
    <row r="152" customFormat="false" ht="26.25" hidden="false" customHeight="true" outlineLevel="0" collapsed="false">
      <c r="A152" s="22" t="n">
        <v>46464</v>
      </c>
      <c r="B152" s="23" t="s">
        <v>152</v>
      </c>
      <c r="C152" s="23" t="n">
        <v>22</v>
      </c>
      <c r="D152" s="39" t="s">
        <v>123</v>
      </c>
      <c r="E152" s="23" t="s">
        <v>186</v>
      </c>
      <c r="F152" s="23" t="s">
        <v>117</v>
      </c>
      <c r="G152" s="8" t="s">
        <v>200</v>
      </c>
      <c r="H152" s="25" t="n">
        <v>7.3</v>
      </c>
      <c r="I152" s="23"/>
      <c r="J152" s="26"/>
      <c r="K152" s="27"/>
      <c r="L152" s="26"/>
    </row>
    <row r="153" customFormat="false" ht="26.25" hidden="false" customHeight="true" outlineLevel="0" collapsed="false">
      <c r="A153" s="22" t="n">
        <v>46465</v>
      </c>
      <c r="B153" s="23" t="s">
        <v>154</v>
      </c>
      <c r="C153" s="23" t="n">
        <v>22</v>
      </c>
      <c r="D153" s="39" t="s">
        <v>123</v>
      </c>
      <c r="E153" s="23" t="s">
        <v>148</v>
      </c>
      <c r="F153" s="23" t="s">
        <v>149</v>
      </c>
      <c r="G153" s="8" t="s">
        <v>150</v>
      </c>
      <c r="H153" s="25"/>
      <c r="I153" s="23" t="n">
        <v>60</v>
      </c>
      <c r="J153" s="26"/>
      <c r="K153" s="27"/>
      <c r="L153" s="26"/>
    </row>
    <row r="154" customFormat="false" ht="15" hidden="false" customHeight="true" outlineLevel="0" collapsed="false">
      <c r="A154" s="22" t="n">
        <v>46466</v>
      </c>
      <c r="B154" s="23" t="s">
        <v>155</v>
      </c>
      <c r="C154" s="23" t="n">
        <v>22</v>
      </c>
      <c r="D154" s="39" t="s">
        <v>123</v>
      </c>
      <c r="E154" s="23" t="s">
        <v>27</v>
      </c>
      <c r="F154" s="23" t="s">
        <v>149</v>
      </c>
      <c r="G154" s="8" t="s">
        <v>153</v>
      </c>
      <c r="H154" s="25"/>
      <c r="I154" s="23"/>
      <c r="J154" s="26"/>
      <c r="K154" s="27"/>
      <c r="L154" s="26"/>
    </row>
    <row r="155" customFormat="false" ht="15" hidden="false" customHeight="true" outlineLevel="0" collapsed="false">
      <c r="A155" s="28" t="n">
        <v>46467</v>
      </c>
      <c r="B155" s="29" t="s">
        <v>157</v>
      </c>
      <c r="C155" s="29" t="n">
        <v>22</v>
      </c>
      <c r="D155" s="40" t="s">
        <v>123</v>
      </c>
      <c r="E155" s="29" t="s">
        <v>145</v>
      </c>
      <c r="F155" s="29" t="s">
        <v>204</v>
      </c>
      <c r="G155" s="31" t="s">
        <v>205</v>
      </c>
      <c r="H155" s="32" t="n">
        <v>17</v>
      </c>
      <c r="I155" s="29"/>
      <c r="J155" s="33"/>
      <c r="K155" s="34"/>
      <c r="L155" s="33"/>
    </row>
    <row r="156" customFormat="false" ht="15" hidden="false" customHeight="true" outlineLevel="0" collapsed="false">
      <c r="A156" s="22" t="n">
        <v>46468</v>
      </c>
      <c r="B156" s="23" t="s">
        <v>144</v>
      </c>
      <c r="C156" s="23" t="n">
        <v>23</v>
      </c>
      <c r="D156" s="39" t="s">
        <v>123</v>
      </c>
      <c r="E156" s="23" t="s">
        <v>145</v>
      </c>
      <c r="F156" s="23" t="s">
        <v>206</v>
      </c>
      <c r="G156" s="8" t="s">
        <v>207</v>
      </c>
      <c r="H156" s="25" t="n">
        <v>8</v>
      </c>
      <c r="I156" s="23"/>
      <c r="J156" s="26"/>
      <c r="K156" s="27"/>
      <c r="L156" s="26"/>
    </row>
    <row r="157" customFormat="false" ht="26.25" hidden="false" customHeight="true" outlineLevel="0" collapsed="false">
      <c r="A157" s="22" t="n">
        <v>46469</v>
      </c>
      <c r="B157" s="23" t="s">
        <v>147</v>
      </c>
      <c r="C157" s="23" t="n">
        <v>23</v>
      </c>
      <c r="D157" s="39" t="s">
        <v>123</v>
      </c>
      <c r="E157" s="23" t="s">
        <v>148</v>
      </c>
      <c r="F157" s="23" t="s">
        <v>149</v>
      </c>
      <c r="G157" s="8" t="s">
        <v>150</v>
      </c>
      <c r="H157" s="25"/>
      <c r="I157" s="23" t="n">
        <v>60</v>
      </c>
      <c r="J157" s="26"/>
      <c r="K157" s="27"/>
      <c r="L157" s="26"/>
    </row>
    <row r="158" customFormat="false" ht="15" hidden="false" customHeight="true" outlineLevel="0" collapsed="false">
      <c r="A158" s="22" t="n">
        <v>46470</v>
      </c>
      <c r="B158" s="23" t="s">
        <v>151</v>
      </c>
      <c r="C158" s="23" t="n">
        <v>23</v>
      </c>
      <c r="D158" s="39" t="s">
        <v>123</v>
      </c>
      <c r="E158" s="23" t="s">
        <v>145</v>
      </c>
      <c r="F158" s="23" t="s">
        <v>128</v>
      </c>
      <c r="G158" s="8" t="s">
        <v>208</v>
      </c>
      <c r="H158" s="25" t="n">
        <v>10.4</v>
      </c>
      <c r="I158" s="23"/>
      <c r="J158" s="26"/>
      <c r="K158" s="27"/>
      <c r="L158" s="26"/>
    </row>
    <row r="159" customFormat="false" ht="26.25" hidden="false" customHeight="true" outlineLevel="0" collapsed="false">
      <c r="A159" s="22" t="n">
        <v>46471</v>
      </c>
      <c r="B159" s="23" t="s">
        <v>152</v>
      </c>
      <c r="C159" s="23" t="n">
        <v>23</v>
      </c>
      <c r="D159" s="39" t="s">
        <v>123</v>
      </c>
      <c r="E159" s="23" t="s">
        <v>186</v>
      </c>
      <c r="F159" s="23" t="s">
        <v>117</v>
      </c>
      <c r="G159" s="8" t="s">
        <v>200</v>
      </c>
      <c r="H159" s="25" t="n">
        <v>7.3</v>
      </c>
      <c r="I159" s="23"/>
      <c r="J159" s="26"/>
      <c r="K159" s="27"/>
      <c r="L159" s="26"/>
    </row>
    <row r="160" customFormat="false" ht="26.25" hidden="false" customHeight="true" outlineLevel="0" collapsed="false">
      <c r="A160" s="22" t="n">
        <v>46472</v>
      </c>
      <c r="B160" s="23" t="s">
        <v>154</v>
      </c>
      <c r="C160" s="23" t="n">
        <v>23</v>
      </c>
      <c r="D160" s="39" t="s">
        <v>123</v>
      </c>
      <c r="E160" s="23" t="s">
        <v>148</v>
      </c>
      <c r="F160" s="23" t="s">
        <v>149</v>
      </c>
      <c r="G160" s="8" t="s">
        <v>150</v>
      </c>
      <c r="H160" s="25"/>
      <c r="I160" s="23" t="n">
        <v>60</v>
      </c>
      <c r="J160" s="26"/>
      <c r="K160" s="27"/>
      <c r="L160" s="26"/>
    </row>
    <row r="161" customFormat="false" ht="15" hidden="false" customHeight="true" outlineLevel="0" collapsed="false">
      <c r="A161" s="22" t="n">
        <v>46473</v>
      </c>
      <c r="B161" s="23" t="s">
        <v>155</v>
      </c>
      <c r="C161" s="23" t="n">
        <v>23</v>
      </c>
      <c r="D161" s="39" t="s">
        <v>123</v>
      </c>
      <c r="E161" s="23" t="s">
        <v>27</v>
      </c>
      <c r="F161" s="23" t="s">
        <v>149</v>
      </c>
      <c r="G161" s="8" t="s">
        <v>153</v>
      </c>
      <c r="H161" s="25"/>
      <c r="I161" s="23"/>
      <c r="J161" s="26"/>
      <c r="K161" s="27"/>
      <c r="L161" s="26"/>
    </row>
    <row r="162" customFormat="false" ht="15" hidden="false" customHeight="true" outlineLevel="0" collapsed="false">
      <c r="A162" s="28" t="n">
        <v>46474</v>
      </c>
      <c r="B162" s="29" t="s">
        <v>157</v>
      </c>
      <c r="C162" s="29" t="n">
        <v>23</v>
      </c>
      <c r="D162" s="40" t="s">
        <v>123</v>
      </c>
      <c r="E162" s="29" t="s">
        <v>145</v>
      </c>
      <c r="F162" s="29" t="s">
        <v>209</v>
      </c>
      <c r="G162" s="31" t="s">
        <v>210</v>
      </c>
      <c r="H162" s="32" t="n">
        <v>18</v>
      </c>
      <c r="I162" s="29"/>
      <c r="J162" s="33"/>
      <c r="K162" s="34"/>
      <c r="L162" s="33"/>
    </row>
    <row r="163" customFormat="false" ht="15" hidden="false" customHeight="true" outlineLevel="0" collapsed="false">
      <c r="A163" s="22" t="n">
        <v>46475</v>
      </c>
      <c r="B163" s="23" t="s">
        <v>144</v>
      </c>
      <c r="C163" s="23" t="n">
        <v>24</v>
      </c>
      <c r="D163" s="39" t="s">
        <v>123</v>
      </c>
      <c r="E163" s="23" t="s">
        <v>145</v>
      </c>
      <c r="F163" s="23" t="s">
        <v>163</v>
      </c>
      <c r="G163" s="8" t="s">
        <v>164</v>
      </c>
      <c r="H163" s="25" t="n">
        <v>5</v>
      </c>
      <c r="I163" s="23"/>
      <c r="J163" s="26"/>
      <c r="K163" s="27"/>
      <c r="L163" s="26"/>
    </row>
    <row r="164" customFormat="false" ht="26.25" hidden="false" customHeight="true" outlineLevel="0" collapsed="false">
      <c r="A164" s="22" t="n">
        <v>46476</v>
      </c>
      <c r="B164" s="23" t="s">
        <v>147</v>
      </c>
      <c r="C164" s="23" t="n">
        <v>24</v>
      </c>
      <c r="D164" s="39" t="s">
        <v>123</v>
      </c>
      <c r="E164" s="23" t="s">
        <v>148</v>
      </c>
      <c r="F164" s="23" t="s">
        <v>149</v>
      </c>
      <c r="G164" s="8" t="s">
        <v>150</v>
      </c>
      <c r="H164" s="25"/>
      <c r="I164" s="23" t="n">
        <v>60</v>
      </c>
      <c r="J164" s="26"/>
      <c r="K164" s="27"/>
      <c r="L164" s="26"/>
    </row>
    <row r="165" customFormat="false" ht="15" hidden="false" customHeight="true" outlineLevel="0" collapsed="false">
      <c r="A165" s="22" t="n">
        <v>46477</v>
      </c>
      <c r="B165" s="23" t="s">
        <v>151</v>
      </c>
      <c r="C165" s="23" t="n">
        <v>24</v>
      </c>
      <c r="D165" s="39" t="s">
        <v>123</v>
      </c>
      <c r="E165" s="23" t="s">
        <v>145</v>
      </c>
      <c r="F165" s="23" t="s">
        <v>114</v>
      </c>
      <c r="G165" s="8" t="s">
        <v>169</v>
      </c>
      <c r="H165" s="25" t="n">
        <v>6.3</v>
      </c>
      <c r="I165" s="23"/>
      <c r="J165" s="26"/>
      <c r="K165" s="27"/>
      <c r="L165" s="26"/>
    </row>
    <row r="166" customFormat="false" ht="15" hidden="false" customHeight="true" outlineLevel="0" collapsed="false">
      <c r="A166" s="22" t="n">
        <v>46478</v>
      </c>
      <c r="B166" s="23" t="s">
        <v>152</v>
      </c>
      <c r="C166" s="23" t="n">
        <v>24</v>
      </c>
      <c r="D166" s="39" t="s">
        <v>123</v>
      </c>
      <c r="E166" s="23" t="s">
        <v>186</v>
      </c>
      <c r="F166" s="23" t="s">
        <v>111</v>
      </c>
      <c r="G166" s="8" t="s">
        <v>187</v>
      </c>
      <c r="H166" s="25" t="n">
        <v>4</v>
      </c>
      <c r="I166" s="23"/>
      <c r="J166" s="26"/>
      <c r="K166" s="27"/>
      <c r="L166" s="26"/>
    </row>
    <row r="167" customFormat="false" ht="26.25" hidden="false" customHeight="true" outlineLevel="0" collapsed="false">
      <c r="A167" s="22" t="n">
        <v>46479</v>
      </c>
      <c r="B167" s="23" t="s">
        <v>154</v>
      </c>
      <c r="C167" s="23" t="n">
        <v>24</v>
      </c>
      <c r="D167" s="39" t="s">
        <v>123</v>
      </c>
      <c r="E167" s="23" t="s">
        <v>148</v>
      </c>
      <c r="F167" s="23" t="s">
        <v>149</v>
      </c>
      <c r="G167" s="8" t="s">
        <v>150</v>
      </c>
      <c r="H167" s="25"/>
      <c r="I167" s="23" t="n">
        <v>60</v>
      </c>
      <c r="J167" s="26"/>
      <c r="K167" s="27"/>
      <c r="L167" s="26"/>
    </row>
    <row r="168" customFormat="false" ht="15" hidden="false" customHeight="true" outlineLevel="0" collapsed="false">
      <c r="A168" s="22" t="n">
        <v>46480</v>
      </c>
      <c r="B168" s="23" t="s">
        <v>155</v>
      </c>
      <c r="C168" s="23" t="n">
        <v>24</v>
      </c>
      <c r="D168" s="39" t="s">
        <v>123</v>
      </c>
      <c r="E168" s="35" t="s">
        <v>167</v>
      </c>
      <c r="F168" s="35" t="s">
        <v>149</v>
      </c>
      <c r="G168" s="36" t="s">
        <v>168</v>
      </c>
      <c r="H168" s="25"/>
      <c r="I168" s="23"/>
      <c r="J168" s="26"/>
      <c r="K168" s="27"/>
      <c r="L168" s="26"/>
    </row>
    <row r="169" customFormat="false" ht="15" hidden="false" customHeight="true" outlineLevel="0" collapsed="false">
      <c r="A169" s="28" t="n">
        <v>46481</v>
      </c>
      <c r="B169" s="29" t="s">
        <v>157</v>
      </c>
      <c r="C169" s="29" t="n">
        <v>24</v>
      </c>
      <c r="D169" s="40" t="s">
        <v>123</v>
      </c>
      <c r="E169" s="29" t="s">
        <v>145</v>
      </c>
      <c r="F169" s="29" t="s">
        <v>211</v>
      </c>
      <c r="G169" s="31" t="s">
        <v>212</v>
      </c>
      <c r="H169" s="32" t="n">
        <v>13.5</v>
      </c>
      <c r="I169" s="29"/>
      <c r="J169" s="33"/>
      <c r="K169" s="34"/>
      <c r="L169" s="33"/>
    </row>
    <row r="170" customFormat="false" ht="15" hidden="false" customHeight="true" outlineLevel="0" collapsed="false">
      <c r="A170" s="22" t="n">
        <v>46482</v>
      </c>
      <c r="B170" s="23" t="s">
        <v>144</v>
      </c>
      <c r="C170" s="23" t="n">
        <v>25</v>
      </c>
      <c r="D170" s="39" t="s">
        <v>123</v>
      </c>
      <c r="E170" s="23" t="s">
        <v>145</v>
      </c>
      <c r="F170" s="23" t="s">
        <v>180</v>
      </c>
      <c r="G170" s="8" t="s">
        <v>181</v>
      </c>
      <c r="H170" s="25" t="n">
        <v>7</v>
      </c>
      <c r="I170" s="23"/>
      <c r="J170" s="26"/>
      <c r="K170" s="27"/>
      <c r="L170" s="26"/>
    </row>
    <row r="171" customFormat="false" ht="26.25" hidden="false" customHeight="true" outlineLevel="0" collapsed="false">
      <c r="A171" s="22" t="n">
        <v>46483</v>
      </c>
      <c r="B171" s="23" t="s">
        <v>147</v>
      </c>
      <c r="C171" s="23" t="n">
        <v>25</v>
      </c>
      <c r="D171" s="39" t="s">
        <v>123</v>
      </c>
      <c r="E171" s="23" t="s">
        <v>148</v>
      </c>
      <c r="F171" s="23" t="s">
        <v>149</v>
      </c>
      <c r="G171" s="8" t="s">
        <v>150</v>
      </c>
      <c r="H171" s="25"/>
      <c r="I171" s="23" t="n">
        <v>60</v>
      </c>
      <c r="J171" s="26"/>
      <c r="K171" s="27"/>
      <c r="L171" s="26"/>
    </row>
    <row r="172" customFormat="false" ht="15" hidden="false" customHeight="true" outlineLevel="0" collapsed="false">
      <c r="A172" s="22" t="n">
        <v>46484</v>
      </c>
      <c r="B172" s="23" t="s">
        <v>151</v>
      </c>
      <c r="C172" s="23" t="n">
        <v>25</v>
      </c>
      <c r="D172" s="39" t="s">
        <v>123</v>
      </c>
      <c r="E172" s="23" t="s">
        <v>145</v>
      </c>
      <c r="F172" s="23" t="s">
        <v>129</v>
      </c>
      <c r="G172" s="8" t="s">
        <v>213</v>
      </c>
      <c r="H172" s="25" t="n">
        <v>11.4</v>
      </c>
      <c r="I172" s="23"/>
      <c r="J172" s="26"/>
      <c r="K172" s="27"/>
      <c r="L172" s="26"/>
    </row>
    <row r="173" customFormat="false" ht="26.25" hidden="false" customHeight="true" outlineLevel="0" collapsed="false">
      <c r="A173" s="22" t="n">
        <v>46485</v>
      </c>
      <c r="B173" s="23" t="s">
        <v>152</v>
      </c>
      <c r="C173" s="23" t="n">
        <v>25</v>
      </c>
      <c r="D173" s="39" t="s">
        <v>123</v>
      </c>
      <c r="E173" s="23" t="s">
        <v>186</v>
      </c>
      <c r="F173" s="23" t="s">
        <v>117</v>
      </c>
      <c r="G173" s="8" t="s">
        <v>200</v>
      </c>
      <c r="H173" s="25" t="n">
        <v>7.3</v>
      </c>
      <c r="I173" s="23"/>
      <c r="J173" s="26"/>
      <c r="K173" s="27"/>
      <c r="L173" s="26"/>
    </row>
    <row r="174" customFormat="false" ht="26.25" hidden="false" customHeight="true" outlineLevel="0" collapsed="false">
      <c r="A174" s="22" t="n">
        <v>46486</v>
      </c>
      <c r="B174" s="23" t="s">
        <v>154</v>
      </c>
      <c r="C174" s="23" t="n">
        <v>25</v>
      </c>
      <c r="D174" s="39" t="s">
        <v>123</v>
      </c>
      <c r="E174" s="23" t="s">
        <v>148</v>
      </c>
      <c r="F174" s="23" t="s">
        <v>149</v>
      </c>
      <c r="G174" s="8" t="s">
        <v>150</v>
      </c>
      <c r="H174" s="25"/>
      <c r="I174" s="23" t="n">
        <v>60</v>
      </c>
      <c r="J174" s="26"/>
      <c r="K174" s="27"/>
      <c r="L174" s="26"/>
    </row>
    <row r="175" customFormat="false" ht="15" hidden="false" customHeight="true" outlineLevel="0" collapsed="false">
      <c r="A175" s="22" t="n">
        <v>46487</v>
      </c>
      <c r="B175" s="23" t="s">
        <v>155</v>
      </c>
      <c r="C175" s="23" t="n">
        <v>25</v>
      </c>
      <c r="D175" s="39" t="s">
        <v>123</v>
      </c>
      <c r="E175" s="23" t="s">
        <v>27</v>
      </c>
      <c r="F175" s="23" t="s">
        <v>149</v>
      </c>
      <c r="G175" s="8" t="s">
        <v>153</v>
      </c>
      <c r="H175" s="25"/>
      <c r="I175" s="23"/>
      <c r="J175" s="26"/>
      <c r="K175" s="27"/>
      <c r="L175" s="26"/>
    </row>
    <row r="176" customFormat="false" ht="15" hidden="false" customHeight="true" outlineLevel="0" collapsed="false">
      <c r="A176" s="28" t="n">
        <v>46488</v>
      </c>
      <c r="B176" s="29" t="s">
        <v>157</v>
      </c>
      <c r="C176" s="29" t="n">
        <v>25</v>
      </c>
      <c r="D176" s="40" t="s">
        <v>123</v>
      </c>
      <c r="E176" s="29" t="s">
        <v>145</v>
      </c>
      <c r="F176" s="29" t="s">
        <v>214</v>
      </c>
      <c r="G176" s="31" t="s">
        <v>215</v>
      </c>
      <c r="H176" s="32" t="n">
        <v>16</v>
      </c>
      <c r="I176" s="29"/>
      <c r="J176" s="33"/>
      <c r="K176" s="34"/>
      <c r="L176" s="33"/>
    </row>
    <row r="177" customFormat="false" ht="15" hidden="false" customHeight="true" outlineLevel="0" collapsed="false">
      <c r="A177" s="22" t="n">
        <v>46489</v>
      </c>
      <c r="B177" s="23" t="s">
        <v>144</v>
      </c>
      <c r="C177" s="23" t="n">
        <v>26</v>
      </c>
      <c r="D177" s="41" t="s">
        <v>130</v>
      </c>
      <c r="E177" s="23" t="s">
        <v>145</v>
      </c>
      <c r="F177" s="23" t="s">
        <v>175</v>
      </c>
      <c r="G177" s="8" t="s">
        <v>176</v>
      </c>
      <c r="H177" s="25" t="n">
        <v>6</v>
      </c>
      <c r="I177" s="23"/>
      <c r="J177" s="26"/>
      <c r="K177" s="27"/>
      <c r="L177" s="26"/>
    </row>
    <row r="178" customFormat="false" ht="26.25" hidden="false" customHeight="true" outlineLevel="0" collapsed="false">
      <c r="A178" s="22" t="n">
        <v>46490</v>
      </c>
      <c r="B178" s="23" t="s">
        <v>147</v>
      </c>
      <c r="C178" s="23" t="n">
        <v>26</v>
      </c>
      <c r="D178" s="41" t="s">
        <v>130</v>
      </c>
      <c r="E178" s="23" t="s">
        <v>148</v>
      </c>
      <c r="F178" s="23" t="s">
        <v>149</v>
      </c>
      <c r="G178" s="8" t="s">
        <v>150</v>
      </c>
      <c r="H178" s="25"/>
      <c r="I178" s="23" t="n">
        <v>60</v>
      </c>
      <c r="J178" s="26"/>
      <c r="K178" s="27"/>
      <c r="L178" s="26"/>
    </row>
    <row r="179" customFormat="false" ht="15" hidden="false" customHeight="true" outlineLevel="0" collapsed="false">
      <c r="A179" s="22" t="n">
        <v>46491</v>
      </c>
      <c r="B179" s="23" t="s">
        <v>151</v>
      </c>
      <c r="C179" s="23" t="n">
        <v>26</v>
      </c>
      <c r="D179" s="41" t="s">
        <v>130</v>
      </c>
      <c r="E179" s="23" t="s">
        <v>145</v>
      </c>
      <c r="F179" s="23" t="s">
        <v>131</v>
      </c>
      <c r="G179" s="8" t="s">
        <v>197</v>
      </c>
      <c r="H179" s="25" t="n">
        <v>8.4</v>
      </c>
      <c r="I179" s="23"/>
      <c r="J179" s="26"/>
      <c r="K179" s="27"/>
      <c r="L179" s="26"/>
    </row>
    <row r="180" customFormat="false" ht="26.25" hidden="false" customHeight="true" outlineLevel="0" collapsed="false">
      <c r="A180" s="22" t="n">
        <v>46492</v>
      </c>
      <c r="B180" s="23" t="s">
        <v>152</v>
      </c>
      <c r="C180" s="23" t="n">
        <v>26</v>
      </c>
      <c r="D180" s="41" t="s">
        <v>130</v>
      </c>
      <c r="E180" s="23" t="s">
        <v>186</v>
      </c>
      <c r="F180" s="23" t="s">
        <v>114</v>
      </c>
      <c r="G180" s="8" t="s">
        <v>198</v>
      </c>
      <c r="H180" s="25" t="n">
        <v>6.3</v>
      </c>
      <c r="I180" s="23"/>
      <c r="J180" s="26"/>
      <c r="K180" s="27"/>
      <c r="L180" s="26"/>
    </row>
    <row r="181" customFormat="false" ht="26.25" hidden="false" customHeight="true" outlineLevel="0" collapsed="false">
      <c r="A181" s="22" t="n">
        <v>46493</v>
      </c>
      <c r="B181" s="23" t="s">
        <v>154</v>
      </c>
      <c r="C181" s="23" t="n">
        <v>26</v>
      </c>
      <c r="D181" s="41" t="s">
        <v>130</v>
      </c>
      <c r="E181" s="23" t="s">
        <v>148</v>
      </c>
      <c r="F181" s="23" t="s">
        <v>149</v>
      </c>
      <c r="G181" s="8" t="s">
        <v>150</v>
      </c>
      <c r="H181" s="25"/>
      <c r="I181" s="23" t="n">
        <v>60</v>
      </c>
      <c r="J181" s="26"/>
      <c r="K181" s="27"/>
      <c r="L181" s="26"/>
    </row>
    <row r="182" customFormat="false" ht="15" hidden="false" customHeight="true" outlineLevel="0" collapsed="false">
      <c r="A182" s="22" t="n">
        <v>46494</v>
      </c>
      <c r="B182" s="23" t="s">
        <v>155</v>
      </c>
      <c r="C182" s="23" t="n">
        <v>26</v>
      </c>
      <c r="D182" s="41" t="s">
        <v>130</v>
      </c>
      <c r="E182" s="35" t="s">
        <v>167</v>
      </c>
      <c r="F182" s="35" t="s">
        <v>149</v>
      </c>
      <c r="G182" s="36" t="s">
        <v>168</v>
      </c>
      <c r="H182" s="25"/>
      <c r="I182" s="23"/>
      <c r="J182" s="26"/>
      <c r="K182" s="27"/>
      <c r="L182" s="26"/>
    </row>
    <row r="183" customFormat="false" ht="15" hidden="false" customHeight="true" outlineLevel="0" collapsed="false">
      <c r="A183" s="28" t="n">
        <v>46495</v>
      </c>
      <c r="B183" s="29" t="s">
        <v>157</v>
      </c>
      <c r="C183" s="29" t="n">
        <v>26</v>
      </c>
      <c r="D183" s="42" t="s">
        <v>130</v>
      </c>
      <c r="E183" s="29" t="s">
        <v>145</v>
      </c>
      <c r="F183" s="29" t="s">
        <v>216</v>
      </c>
      <c r="G183" s="31" t="s">
        <v>217</v>
      </c>
      <c r="H183" s="32" t="n">
        <v>12</v>
      </c>
      <c r="I183" s="29"/>
      <c r="J183" s="33"/>
      <c r="K183" s="34"/>
      <c r="L183" s="33"/>
    </row>
    <row r="184" customFormat="false" ht="15" hidden="false" customHeight="true" outlineLevel="0" collapsed="false">
      <c r="A184" s="22" t="n">
        <v>46496</v>
      </c>
      <c r="B184" s="23" t="s">
        <v>144</v>
      </c>
      <c r="C184" s="23" t="n">
        <v>27</v>
      </c>
      <c r="D184" s="41" t="s">
        <v>130</v>
      </c>
      <c r="E184" s="23" t="s">
        <v>145</v>
      </c>
      <c r="F184" s="23" t="s">
        <v>163</v>
      </c>
      <c r="G184" s="8" t="s">
        <v>164</v>
      </c>
      <c r="H184" s="25" t="n">
        <v>5</v>
      </c>
      <c r="I184" s="23"/>
      <c r="J184" s="26"/>
      <c r="K184" s="27"/>
      <c r="L184" s="26"/>
    </row>
    <row r="185" customFormat="false" ht="26.25" hidden="false" customHeight="true" outlineLevel="0" collapsed="false">
      <c r="A185" s="22" t="n">
        <v>46497</v>
      </c>
      <c r="B185" s="23" t="s">
        <v>147</v>
      </c>
      <c r="C185" s="23" t="n">
        <v>27</v>
      </c>
      <c r="D185" s="41" t="s">
        <v>130</v>
      </c>
      <c r="E185" s="23" t="s">
        <v>148</v>
      </c>
      <c r="F185" s="23" t="s">
        <v>149</v>
      </c>
      <c r="G185" s="8" t="s">
        <v>150</v>
      </c>
      <c r="H185" s="25"/>
      <c r="I185" s="23" t="n">
        <v>60</v>
      </c>
      <c r="J185" s="26"/>
      <c r="K185" s="27"/>
      <c r="L185" s="26"/>
    </row>
    <row r="186" customFormat="false" ht="15" hidden="false" customHeight="true" outlineLevel="0" collapsed="false">
      <c r="A186" s="22" t="n">
        <v>46498</v>
      </c>
      <c r="B186" s="23" t="s">
        <v>151</v>
      </c>
      <c r="C186" s="23" t="n">
        <v>27</v>
      </c>
      <c r="D186" s="41" t="s">
        <v>130</v>
      </c>
      <c r="E186" s="23" t="s">
        <v>145</v>
      </c>
      <c r="F186" s="23" t="s">
        <v>132</v>
      </c>
      <c r="G186" s="8" t="s">
        <v>218</v>
      </c>
      <c r="H186" s="25" t="n">
        <v>6.6</v>
      </c>
      <c r="I186" s="23"/>
      <c r="J186" s="26"/>
      <c r="K186" s="27"/>
      <c r="L186" s="26"/>
    </row>
    <row r="187" customFormat="false" ht="15" hidden="false" customHeight="true" outlineLevel="0" collapsed="false">
      <c r="A187" s="22" t="n">
        <v>46499</v>
      </c>
      <c r="B187" s="23" t="s">
        <v>152</v>
      </c>
      <c r="C187" s="23" t="n">
        <v>27</v>
      </c>
      <c r="D187" s="41" t="s">
        <v>130</v>
      </c>
      <c r="E187" s="35" t="s">
        <v>167</v>
      </c>
      <c r="F187" s="35" t="s">
        <v>149</v>
      </c>
      <c r="G187" s="36" t="s">
        <v>168</v>
      </c>
      <c r="H187" s="25"/>
      <c r="I187" s="23"/>
      <c r="J187" s="26"/>
      <c r="K187" s="27"/>
      <c r="L187" s="26"/>
    </row>
    <row r="188" customFormat="false" ht="15" hidden="false" customHeight="true" outlineLevel="0" collapsed="false">
      <c r="A188" s="22" t="n">
        <v>46500</v>
      </c>
      <c r="B188" s="23" t="s">
        <v>154</v>
      </c>
      <c r="C188" s="23" t="n">
        <v>27</v>
      </c>
      <c r="D188" s="41" t="s">
        <v>130</v>
      </c>
      <c r="E188" s="35" t="s">
        <v>167</v>
      </c>
      <c r="F188" s="35" t="s">
        <v>149</v>
      </c>
      <c r="G188" s="36" t="s">
        <v>219</v>
      </c>
      <c r="H188" s="25"/>
      <c r="I188" s="23"/>
      <c r="J188" s="26"/>
      <c r="K188" s="27"/>
      <c r="L188" s="26"/>
    </row>
    <row r="189" customFormat="false" ht="15" hidden="false" customHeight="true" outlineLevel="0" collapsed="false">
      <c r="A189" s="22" t="n">
        <v>46501</v>
      </c>
      <c r="B189" s="23" t="s">
        <v>155</v>
      </c>
      <c r="C189" s="23" t="n">
        <v>27</v>
      </c>
      <c r="D189" s="41" t="s">
        <v>130</v>
      </c>
      <c r="E189" s="23" t="s">
        <v>145</v>
      </c>
      <c r="F189" s="23" t="s">
        <v>220</v>
      </c>
      <c r="G189" s="8" t="s">
        <v>221</v>
      </c>
      <c r="H189" s="25" t="n">
        <v>3.7</v>
      </c>
      <c r="I189" s="23"/>
      <c r="J189" s="26"/>
      <c r="K189" s="27"/>
      <c r="L189" s="26"/>
    </row>
    <row r="190" customFormat="false" ht="15" hidden="false" customHeight="true" outlineLevel="0" collapsed="false">
      <c r="A190" s="43" t="n">
        <v>46502</v>
      </c>
      <c r="B190" s="44" t="s">
        <v>157</v>
      </c>
      <c r="C190" s="44" t="n">
        <v>27</v>
      </c>
      <c r="D190" s="45" t="s">
        <v>130</v>
      </c>
      <c r="E190" s="44" t="s">
        <v>145</v>
      </c>
      <c r="F190" s="44" t="s">
        <v>222</v>
      </c>
      <c r="G190" s="46" t="s">
        <v>223</v>
      </c>
      <c r="H190" s="47" t="n">
        <v>16.1</v>
      </c>
      <c r="I190" s="44"/>
      <c r="J190" s="33"/>
      <c r="K190" s="34"/>
      <c r="L190" s="33"/>
    </row>
  </sheetData>
  <autoFilter ref="A1:L190"/>
  <conditionalFormatting sqref="A2:I190">
    <cfRule type="expression" priority="2" aboveAverage="0" equalAverage="0" bottom="0" percent="0" rank="0" text="" dxfId="11">
      <formula>$J2="x"</formula>
    </cfRule>
  </conditionalFormatting>
  <dataValidations count="1">
    <dataValidation allowBlank="true" errorStyle="stop" operator="between" showDropDown="false" showErrorMessage="false" showInputMessage="false" sqref="J2:J190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62"/>
  </cols>
  <sheetData>
    <row r="1" customFormat="false" ht="17.25" hidden="false" customHeight="true" outlineLevel="0" collapsed="false">
      <c r="A1" s="2" t="s">
        <v>224</v>
      </c>
    </row>
    <row r="2" customFormat="false" ht="15" hidden="false" customHeight="true" outlineLevel="0" collapsed="false">
      <c r="A2" s="3" t="s">
        <v>225</v>
      </c>
    </row>
    <row r="4" customFormat="false" ht="15" hidden="false" customHeight="true" outlineLevel="0" collapsed="false">
      <c r="A4" s="48" t="s">
        <v>111</v>
      </c>
      <c r="B4" s="49"/>
      <c r="C4" s="49"/>
      <c r="D4" s="48" t="s">
        <v>226</v>
      </c>
      <c r="E4" s="50" t="n">
        <v>4</v>
      </c>
      <c r="F4" s="49"/>
    </row>
    <row r="5" customFormat="false" ht="15" hidden="false" customHeight="true" outlineLevel="0" collapsed="false">
      <c r="A5" s="51" t="s">
        <v>227</v>
      </c>
      <c r="B5" s="52" t="n">
        <v>46314</v>
      </c>
      <c r="C5" s="51" t="s">
        <v>228</v>
      </c>
      <c r="D5" s="5" t="n">
        <f aca="false">COUNTIF(Dagschema!$F$2:$F$190,"Rustig 4 km")</f>
        <v>8</v>
      </c>
    </row>
    <row r="6" customFormat="false" ht="15" hidden="false" customHeight="true" outlineLevel="0" collapsed="false">
      <c r="A6" s="53" t="s">
        <v>100</v>
      </c>
      <c r="B6" s="53" t="s">
        <v>229</v>
      </c>
      <c r="C6" s="53" t="s">
        <v>230</v>
      </c>
      <c r="D6" s="53" t="s">
        <v>231</v>
      </c>
      <c r="E6" s="53" t="s">
        <v>232</v>
      </c>
      <c r="F6" s="53" t="s">
        <v>233</v>
      </c>
    </row>
    <row r="7" customFormat="false" ht="15" hidden="false" customHeight="true" outlineLevel="0" collapsed="false">
      <c r="A7" s="8" t="n">
        <v>1</v>
      </c>
      <c r="B7" s="8" t="s">
        <v>234</v>
      </c>
      <c r="C7" s="8" t="s">
        <v>235</v>
      </c>
      <c r="D7" s="8" t="s">
        <v>236</v>
      </c>
      <c r="E7" s="8" t="s">
        <v>237</v>
      </c>
      <c r="F7" s="8" t="s">
        <v>238</v>
      </c>
    </row>
    <row r="8" customFormat="false" ht="15" hidden="false" customHeight="true" outlineLevel="0" collapsed="false">
      <c r="A8" s="8" t="n">
        <v>2</v>
      </c>
      <c r="B8" s="8" t="s">
        <v>239</v>
      </c>
      <c r="C8" s="8" t="s">
        <v>235</v>
      </c>
      <c r="D8" s="8" t="s">
        <v>240</v>
      </c>
      <c r="E8" s="8" t="s">
        <v>241</v>
      </c>
      <c r="F8" s="8" t="s">
        <v>242</v>
      </c>
    </row>
    <row r="10" customFormat="false" ht="15" hidden="false" customHeight="true" outlineLevel="0" collapsed="false">
      <c r="A10" s="48" t="s">
        <v>158</v>
      </c>
      <c r="B10" s="49"/>
      <c r="C10" s="49"/>
      <c r="D10" s="48" t="s">
        <v>226</v>
      </c>
      <c r="E10" s="50" t="n">
        <v>7</v>
      </c>
      <c r="F10" s="49"/>
    </row>
    <row r="11" customFormat="false" ht="15" hidden="false" customHeight="true" outlineLevel="0" collapsed="false">
      <c r="A11" s="51" t="s">
        <v>227</v>
      </c>
      <c r="B11" s="52" t="n">
        <v>46320</v>
      </c>
      <c r="C11" s="51" t="s">
        <v>228</v>
      </c>
      <c r="D11" s="5" t="n">
        <f aca="false">COUNTIF(Dagschema!$F$2:$F$190,"Lange duurloop 7 km")</f>
        <v>2</v>
      </c>
    </row>
    <row r="12" customFormat="false" ht="15" hidden="false" customHeight="true" outlineLevel="0" collapsed="false">
      <c r="A12" s="53" t="s">
        <v>100</v>
      </c>
      <c r="B12" s="53" t="s">
        <v>229</v>
      </c>
      <c r="C12" s="53" t="s">
        <v>230</v>
      </c>
      <c r="D12" s="53" t="s">
        <v>231</v>
      </c>
      <c r="E12" s="53" t="s">
        <v>232</v>
      </c>
      <c r="F12" s="53" t="s">
        <v>233</v>
      </c>
    </row>
    <row r="13" customFormat="false" ht="15" hidden="false" customHeight="true" outlineLevel="0" collapsed="false">
      <c r="A13" s="8" t="n">
        <v>1</v>
      </c>
      <c r="B13" s="8" t="s">
        <v>234</v>
      </c>
      <c r="C13" s="8" t="s">
        <v>235</v>
      </c>
      <c r="D13" s="8" t="s">
        <v>236</v>
      </c>
      <c r="E13" s="8" t="s">
        <v>237</v>
      </c>
      <c r="F13" s="8" t="s">
        <v>243</v>
      </c>
    </row>
    <row r="14" customFormat="false" ht="15" hidden="false" customHeight="true" outlineLevel="0" collapsed="false">
      <c r="A14" s="8" t="n">
        <v>2</v>
      </c>
      <c r="B14" s="8" t="s">
        <v>244</v>
      </c>
      <c r="C14" s="8" t="s">
        <v>235</v>
      </c>
      <c r="D14" s="8" t="s">
        <v>245</v>
      </c>
      <c r="E14" s="8" t="s">
        <v>241</v>
      </c>
      <c r="F14" s="8" t="s">
        <v>246</v>
      </c>
    </row>
    <row r="16" customFormat="false" ht="15" hidden="false" customHeight="true" outlineLevel="0" collapsed="false">
      <c r="A16" s="48" t="s">
        <v>112</v>
      </c>
      <c r="B16" s="49"/>
      <c r="C16" s="49"/>
      <c r="D16" s="48" t="s">
        <v>226</v>
      </c>
      <c r="E16" s="50" t="n">
        <v>5.3</v>
      </c>
      <c r="F16" s="49"/>
    </row>
    <row r="17" customFormat="false" ht="15" hidden="false" customHeight="true" outlineLevel="0" collapsed="false">
      <c r="A17" s="51" t="s">
        <v>227</v>
      </c>
      <c r="B17" s="52" t="n">
        <v>46323</v>
      </c>
      <c r="C17" s="51" t="s">
        <v>228</v>
      </c>
      <c r="D17" s="5" t="n">
        <f aca="false">COUNTIF(Dagschema!$F$2:$F$190,"Rustig 5 km + strides")</f>
        <v>3</v>
      </c>
    </row>
    <row r="18" customFormat="false" ht="15" hidden="false" customHeight="true" outlineLevel="0" collapsed="false">
      <c r="A18" s="53" t="s">
        <v>100</v>
      </c>
      <c r="B18" s="53" t="s">
        <v>229</v>
      </c>
      <c r="C18" s="53" t="s">
        <v>230</v>
      </c>
      <c r="D18" s="53" t="s">
        <v>231</v>
      </c>
      <c r="E18" s="53" t="s">
        <v>232</v>
      </c>
      <c r="F18" s="53" t="s">
        <v>233</v>
      </c>
    </row>
    <row r="19" customFormat="false" ht="15" hidden="false" customHeight="true" outlineLevel="0" collapsed="false">
      <c r="A19" s="8" t="n">
        <v>1</v>
      </c>
      <c r="B19" s="8" t="s">
        <v>234</v>
      </c>
      <c r="C19" s="8" t="s">
        <v>235</v>
      </c>
      <c r="D19" s="8" t="s">
        <v>236</v>
      </c>
      <c r="E19" s="8" t="s">
        <v>237</v>
      </c>
      <c r="F19" s="8" t="s">
        <v>247</v>
      </c>
    </row>
    <row r="20" customFormat="false" ht="15" hidden="false" customHeight="true" outlineLevel="0" collapsed="false">
      <c r="A20" s="8" t="n">
        <v>2</v>
      </c>
      <c r="B20" s="8" t="s">
        <v>239</v>
      </c>
      <c r="C20" s="8" t="s">
        <v>235</v>
      </c>
      <c r="D20" s="8" t="s">
        <v>248</v>
      </c>
      <c r="E20" s="8" t="s">
        <v>241</v>
      </c>
      <c r="F20" s="8" t="s">
        <v>249</v>
      </c>
    </row>
    <row r="21" customFormat="false" ht="15" hidden="false" customHeight="true" outlineLevel="0" collapsed="false">
      <c r="A21" s="8" t="n">
        <v>3</v>
      </c>
      <c r="B21" s="8" t="s">
        <v>250</v>
      </c>
      <c r="C21" s="8" t="s">
        <v>251</v>
      </c>
      <c r="D21" s="8" t="s">
        <v>252</v>
      </c>
      <c r="E21" s="8" t="s">
        <v>149</v>
      </c>
      <c r="F21" s="8" t="s">
        <v>253</v>
      </c>
    </row>
    <row r="22" customFormat="false" ht="15" hidden="false" customHeight="true" outlineLevel="0" collapsed="false">
      <c r="A22" s="8" t="n">
        <v>4</v>
      </c>
      <c r="B22" s="8" t="s">
        <v>254</v>
      </c>
      <c r="C22" s="8" t="s">
        <v>255</v>
      </c>
      <c r="D22" s="8" t="s">
        <v>256</v>
      </c>
      <c r="E22" s="8" t="s">
        <v>257</v>
      </c>
      <c r="F22" s="8" t="s">
        <v>258</v>
      </c>
    </row>
    <row r="23" customFormat="false" ht="15" hidden="false" customHeight="true" outlineLevel="0" collapsed="false">
      <c r="A23" s="8" t="n">
        <v>5</v>
      </c>
      <c r="B23" s="8" t="s">
        <v>259</v>
      </c>
      <c r="C23" s="8" t="s">
        <v>255</v>
      </c>
      <c r="D23" s="8" t="s">
        <v>260</v>
      </c>
      <c r="E23" s="8" t="s">
        <v>261</v>
      </c>
      <c r="F23" s="8" t="s">
        <v>262</v>
      </c>
    </row>
    <row r="24" customFormat="false" ht="15" hidden="false" customHeight="true" outlineLevel="0" collapsed="false">
      <c r="A24" s="8" t="n">
        <v>6</v>
      </c>
      <c r="B24" s="8" t="s">
        <v>263</v>
      </c>
      <c r="C24" s="8" t="s">
        <v>235</v>
      </c>
      <c r="D24" s="8" t="s">
        <v>264</v>
      </c>
      <c r="E24" s="8" t="s">
        <v>237</v>
      </c>
      <c r="F24" s="8" t="s">
        <v>265</v>
      </c>
    </row>
    <row r="26" customFormat="false" ht="15" hidden="false" customHeight="true" outlineLevel="0" collapsed="false">
      <c r="A26" s="48" t="s">
        <v>161</v>
      </c>
      <c r="B26" s="49"/>
      <c r="C26" s="49"/>
      <c r="D26" s="48" t="s">
        <v>226</v>
      </c>
      <c r="E26" s="50" t="n">
        <v>8</v>
      </c>
      <c r="F26" s="49"/>
    </row>
    <row r="27" customFormat="false" ht="15" hidden="false" customHeight="true" outlineLevel="0" collapsed="false">
      <c r="A27" s="51" t="s">
        <v>227</v>
      </c>
      <c r="B27" s="52" t="n">
        <v>46327</v>
      </c>
      <c r="C27" s="51" t="s">
        <v>228</v>
      </c>
      <c r="D27" s="5" t="n">
        <f aca="false">COUNTIF(Dagschema!$F$2:$F$190,"Lange duurloop 8 km")</f>
        <v>1</v>
      </c>
    </row>
    <row r="28" customFormat="false" ht="15" hidden="false" customHeight="true" outlineLevel="0" collapsed="false">
      <c r="A28" s="53" t="s">
        <v>100</v>
      </c>
      <c r="B28" s="53" t="s">
        <v>229</v>
      </c>
      <c r="C28" s="53" t="s">
        <v>230</v>
      </c>
      <c r="D28" s="53" t="s">
        <v>231</v>
      </c>
      <c r="E28" s="53" t="s">
        <v>232</v>
      </c>
      <c r="F28" s="53" t="s">
        <v>233</v>
      </c>
    </row>
    <row r="29" customFormat="false" ht="15" hidden="false" customHeight="true" outlineLevel="0" collapsed="false">
      <c r="A29" s="8" t="n">
        <v>1</v>
      </c>
      <c r="B29" s="8" t="s">
        <v>234</v>
      </c>
      <c r="C29" s="8" t="s">
        <v>235</v>
      </c>
      <c r="D29" s="8" t="s">
        <v>236</v>
      </c>
      <c r="E29" s="8" t="s">
        <v>237</v>
      </c>
      <c r="F29" s="8" t="s">
        <v>243</v>
      </c>
    </row>
    <row r="30" customFormat="false" ht="15" hidden="false" customHeight="true" outlineLevel="0" collapsed="false">
      <c r="A30" s="8" t="n">
        <v>2</v>
      </c>
      <c r="B30" s="8" t="s">
        <v>244</v>
      </c>
      <c r="C30" s="8" t="s">
        <v>235</v>
      </c>
      <c r="D30" s="8" t="s">
        <v>266</v>
      </c>
      <c r="E30" s="8" t="s">
        <v>241</v>
      </c>
      <c r="F30" s="8" t="s">
        <v>246</v>
      </c>
    </row>
    <row r="32" customFormat="false" ht="15" hidden="false" customHeight="true" outlineLevel="0" collapsed="false">
      <c r="A32" s="48" t="s">
        <v>163</v>
      </c>
      <c r="B32" s="49"/>
      <c r="C32" s="49"/>
      <c r="D32" s="48" t="s">
        <v>226</v>
      </c>
      <c r="E32" s="50" t="n">
        <v>5</v>
      </c>
      <c r="F32" s="49"/>
    </row>
    <row r="33" customFormat="false" ht="15" hidden="false" customHeight="true" outlineLevel="0" collapsed="false">
      <c r="A33" s="51" t="s">
        <v>227</v>
      </c>
      <c r="B33" s="52" t="n">
        <v>46328</v>
      </c>
      <c r="C33" s="51" t="s">
        <v>228</v>
      </c>
      <c r="D33" s="5" t="n">
        <f aca="false">COUNTIF(Dagschema!$F$2:$F$190,"Rustig 5 km")</f>
        <v>14</v>
      </c>
    </row>
    <row r="34" customFormat="false" ht="15" hidden="false" customHeight="true" outlineLevel="0" collapsed="false">
      <c r="A34" s="53" t="s">
        <v>100</v>
      </c>
      <c r="B34" s="53" t="s">
        <v>229</v>
      </c>
      <c r="C34" s="53" t="s">
        <v>230</v>
      </c>
      <c r="D34" s="53" t="s">
        <v>231</v>
      </c>
      <c r="E34" s="53" t="s">
        <v>232</v>
      </c>
      <c r="F34" s="53" t="s">
        <v>233</v>
      </c>
    </row>
    <row r="35" customFormat="false" ht="15" hidden="false" customHeight="true" outlineLevel="0" collapsed="false">
      <c r="A35" s="8" t="n">
        <v>1</v>
      </c>
      <c r="B35" s="8" t="s">
        <v>234</v>
      </c>
      <c r="C35" s="8" t="s">
        <v>235</v>
      </c>
      <c r="D35" s="8" t="s">
        <v>236</v>
      </c>
      <c r="E35" s="8" t="s">
        <v>237</v>
      </c>
      <c r="F35" s="8" t="s">
        <v>238</v>
      </c>
    </row>
    <row r="36" customFormat="false" ht="15" hidden="false" customHeight="true" outlineLevel="0" collapsed="false">
      <c r="A36" s="8" t="n">
        <v>2</v>
      </c>
      <c r="B36" s="8" t="s">
        <v>239</v>
      </c>
      <c r="C36" s="8" t="s">
        <v>235</v>
      </c>
      <c r="D36" s="8" t="s">
        <v>267</v>
      </c>
      <c r="E36" s="8" t="s">
        <v>241</v>
      </c>
      <c r="F36" s="8" t="s">
        <v>242</v>
      </c>
    </row>
    <row r="38" customFormat="false" ht="15" hidden="false" customHeight="true" outlineLevel="0" collapsed="false">
      <c r="A38" s="48" t="s">
        <v>165</v>
      </c>
      <c r="B38" s="49"/>
      <c r="C38" s="49"/>
      <c r="D38" s="48" t="s">
        <v>226</v>
      </c>
      <c r="E38" s="50" t="n">
        <v>9</v>
      </c>
      <c r="F38" s="49"/>
    </row>
    <row r="39" customFormat="false" ht="15" hidden="false" customHeight="true" outlineLevel="0" collapsed="false">
      <c r="A39" s="51" t="s">
        <v>227</v>
      </c>
      <c r="B39" s="52" t="n">
        <v>46334</v>
      </c>
      <c r="C39" s="51" t="s">
        <v>228</v>
      </c>
      <c r="D39" s="5" t="n">
        <f aca="false">COUNTIF(Dagschema!$F$2:$F$190,"Lange duurloop 9 km")</f>
        <v>2</v>
      </c>
    </row>
    <row r="40" customFormat="false" ht="15" hidden="false" customHeight="true" outlineLevel="0" collapsed="false">
      <c r="A40" s="53" t="s">
        <v>100</v>
      </c>
      <c r="B40" s="53" t="s">
        <v>229</v>
      </c>
      <c r="C40" s="53" t="s">
        <v>230</v>
      </c>
      <c r="D40" s="53" t="s">
        <v>231</v>
      </c>
      <c r="E40" s="53" t="s">
        <v>232</v>
      </c>
      <c r="F40" s="53" t="s">
        <v>233</v>
      </c>
    </row>
    <row r="41" customFormat="false" ht="15" hidden="false" customHeight="true" outlineLevel="0" collapsed="false">
      <c r="A41" s="8" t="n">
        <v>1</v>
      </c>
      <c r="B41" s="8" t="s">
        <v>234</v>
      </c>
      <c r="C41" s="8" t="s">
        <v>235</v>
      </c>
      <c r="D41" s="8" t="s">
        <v>236</v>
      </c>
      <c r="E41" s="8" t="s">
        <v>237</v>
      </c>
      <c r="F41" s="8" t="s">
        <v>243</v>
      </c>
    </row>
    <row r="42" customFormat="false" ht="15" hidden="false" customHeight="true" outlineLevel="0" collapsed="false">
      <c r="A42" s="8" t="n">
        <v>2</v>
      </c>
      <c r="B42" s="8" t="s">
        <v>244</v>
      </c>
      <c r="C42" s="8" t="s">
        <v>235</v>
      </c>
      <c r="D42" s="8" t="s">
        <v>268</v>
      </c>
      <c r="E42" s="8" t="s">
        <v>241</v>
      </c>
      <c r="F42" s="8" t="s">
        <v>246</v>
      </c>
    </row>
    <row r="44" customFormat="false" ht="15" hidden="false" customHeight="true" outlineLevel="0" collapsed="false">
      <c r="A44" s="48" t="s">
        <v>114</v>
      </c>
      <c r="B44" s="49"/>
      <c r="C44" s="49"/>
      <c r="D44" s="48" t="s">
        <v>226</v>
      </c>
      <c r="E44" s="50" t="n">
        <v>6.3</v>
      </c>
      <c r="F44" s="49"/>
    </row>
    <row r="45" customFormat="false" ht="15" hidden="false" customHeight="true" outlineLevel="0" collapsed="false">
      <c r="A45" s="51" t="s">
        <v>227</v>
      </c>
      <c r="B45" s="52" t="n">
        <v>46344</v>
      </c>
      <c r="C45" s="51" t="s">
        <v>228</v>
      </c>
      <c r="D45" s="5" t="n">
        <f aca="false">COUNTIF(Dagschema!$F$2:$F$190,"Rustig 6 km + strides")</f>
        <v>6</v>
      </c>
    </row>
    <row r="46" customFormat="false" ht="15" hidden="false" customHeight="true" outlineLevel="0" collapsed="false">
      <c r="A46" s="53" t="s">
        <v>100</v>
      </c>
      <c r="B46" s="53" t="s">
        <v>229</v>
      </c>
      <c r="C46" s="53" t="s">
        <v>230</v>
      </c>
      <c r="D46" s="53" t="s">
        <v>231</v>
      </c>
      <c r="E46" s="53" t="s">
        <v>232</v>
      </c>
      <c r="F46" s="53" t="s">
        <v>233</v>
      </c>
    </row>
    <row r="47" customFormat="false" ht="15" hidden="false" customHeight="true" outlineLevel="0" collapsed="false">
      <c r="A47" s="8" t="n">
        <v>1</v>
      </c>
      <c r="B47" s="8" t="s">
        <v>234</v>
      </c>
      <c r="C47" s="8" t="s">
        <v>235</v>
      </c>
      <c r="D47" s="8" t="s">
        <v>236</v>
      </c>
      <c r="E47" s="8" t="s">
        <v>237</v>
      </c>
      <c r="F47" s="8" t="s">
        <v>247</v>
      </c>
    </row>
    <row r="48" customFormat="false" ht="15" hidden="false" customHeight="true" outlineLevel="0" collapsed="false">
      <c r="A48" s="8" t="n">
        <v>2</v>
      </c>
      <c r="B48" s="8" t="s">
        <v>239</v>
      </c>
      <c r="C48" s="8" t="s">
        <v>235</v>
      </c>
      <c r="D48" s="8" t="s">
        <v>269</v>
      </c>
      <c r="E48" s="8" t="s">
        <v>241</v>
      </c>
      <c r="F48" s="8" t="s">
        <v>249</v>
      </c>
    </row>
    <row r="49" customFormat="false" ht="15" hidden="false" customHeight="true" outlineLevel="0" collapsed="false">
      <c r="A49" s="8" t="n">
        <v>3</v>
      </c>
      <c r="B49" s="8" t="s">
        <v>250</v>
      </c>
      <c r="C49" s="8" t="s">
        <v>251</v>
      </c>
      <c r="D49" s="8" t="s">
        <v>252</v>
      </c>
      <c r="E49" s="8" t="s">
        <v>149</v>
      </c>
      <c r="F49" s="8" t="s">
        <v>253</v>
      </c>
    </row>
    <row r="50" customFormat="false" ht="15" hidden="false" customHeight="true" outlineLevel="0" collapsed="false">
      <c r="A50" s="8" t="n">
        <v>4</v>
      </c>
      <c r="B50" s="8" t="s">
        <v>254</v>
      </c>
      <c r="C50" s="8" t="s">
        <v>255</v>
      </c>
      <c r="D50" s="8" t="s">
        <v>256</v>
      </c>
      <c r="E50" s="8" t="s">
        <v>257</v>
      </c>
      <c r="F50" s="8" t="s">
        <v>258</v>
      </c>
    </row>
    <row r="51" customFormat="false" ht="15" hidden="false" customHeight="true" outlineLevel="0" collapsed="false">
      <c r="A51" s="8" t="n">
        <v>5</v>
      </c>
      <c r="B51" s="8" t="s">
        <v>259</v>
      </c>
      <c r="C51" s="8" t="s">
        <v>255</v>
      </c>
      <c r="D51" s="8" t="s">
        <v>260</v>
      </c>
      <c r="E51" s="8" t="s">
        <v>261</v>
      </c>
      <c r="F51" s="8" t="s">
        <v>262</v>
      </c>
    </row>
    <row r="52" customFormat="false" ht="15" hidden="false" customHeight="true" outlineLevel="0" collapsed="false">
      <c r="A52" s="8" t="n">
        <v>6</v>
      </c>
      <c r="B52" s="8" t="s">
        <v>263</v>
      </c>
      <c r="C52" s="8" t="s">
        <v>235</v>
      </c>
      <c r="D52" s="8" t="s">
        <v>264</v>
      </c>
      <c r="E52" s="8" t="s">
        <v>237</v>
      </c>
      <c r="F52" s="8" t="s">
        <v>265</v>
      </c>
    </row>
    <row r="54" customFormat="false" ht="15" hidden="false" customHeight="true" outlineLevel="0" collapsed="false">
      <c r="A54" s="48" t="s">
        <v>170</v>
      </c>
      <c r="B54" s="49"/>
      <c r="C54" s="49"/>
      <c r="D54" s="48" t="s">
        <v>226</v>
      </c>
      <c r="E54" s="50" t="n">
        <v>10</v>
      </c>
      <c r="F54" s="49"/>
    </row>
    <row r="55" customFormat="false" ht="15" hidden="false" customHeight="true" outlineLevel="0" collapsed="false">
      <c r="A55" s="51" t="s">
        <v>227</v>
      </c>
      <c r="B55" s="52" t="n">
        <v>46348</v>
      </c>
      <c r="C55" s="51" t="s">
        <v>228</v>
      </c>
      <c r="D55" s="5" t="n">
        <f aca="false">COUNTIF(Dagschema!$F$2:$F$190,"Lange duurloop 10 km")</f>
        <v>2</v>
      </c>
    </row>
    <row r="56" customFormat="false" ht="15" hidden="false" customHeight="true" outlineLevel="0" collapsed="false">
      <c r="A56" s="53" t="s">
        <v>100</v>
      </c>
      <c r="B56" s="53" t="s">
        <v>229</v>
      </c>
      <c r="C56" s="53" t="s">
        <v>230</v>
      </c>
      <c r="D56" s="53" t="s">
        <v>231</v>
      </c>
      <c r="E56" s="53" t="s">
        <v>232</v>
      </c>
      <c r="F56" s="53" t="s">
        <v>233</v>
      </c>
    </row>
    <row r="57" customFormat="false" ht="15" hidden="false" customHeight="true" outlineLevel="0" collapsed="false">
      <c r="A57" s="8" t="n">
        <v>1</v>
      </c>
      <c r="B57" s="8" t="s">
        <v>234</v>
      </c>
      <c r="C57" s="8" t="s">
        <v>235</v>
      </c>
      <c r="D57" s="8" t="s">
        <v>236</v>
      </c>
      <c r="E57" s="8" t="s">
        <v>237</v>
      </c>
      <c r="F57" s="8" t="s">
        <v>243</v>
      </c>
    </row>
    <row r="58" customFormat="false" ht="15" hidden="false" customHeight="true" outlineLevel="0" collapsed="false">
      <c r="A58" s="8" t="n">
        <v>2</v>
      </c>
      <c r="B58" s="8" t="s">
        <v>244</v>
      </c>
      <c r="C58" s="8" t="s">
        <v>235</v>
      </c>
      <c r="D58" s="8" t="s">
        <v>270</v>
      </c>
      <c r="E58" s="8" t="s">
        <v>241</v>
      </c>
      <c r="F58" s="8" t="s">
        <v>246</v>
      </c>
    </row>
    <row r="60" customFormat="false" ht="15" hidden="false" customHeight="true" outlineLevel="0" collapsed="false">
      <c r="A60" s="48" t="s">
        <v>115</v>
      </c>
      <c r="B60" s="49"/>
      <c r="C60" s="49"/>
      <c r="D60" s="48" t="s">
        <v>226</v>
      </c>
      <c r="E60" s="50" t="n">
        <v>6</v>
      </c>
      <c r="F60" s="49"/>
    </row>
    <row r="61" customFormat="false" ht="15" hidden="false" customHeight="true" outlineLevel="0" collapsed="false">
      <c r="A61" s="51" t="s">
        <v>227</v>
      </c>
      <c r="B61" s="52" t="n">
        <v>46351</v>
      </c>
      <c r="C61" s="51" t="s">
        <v>228</v>
      </c>
      <c r="D61" s="5" t="n">
        <f aca="false">COUNTIF(Dagschema!$F$2:$F$190,"Fartlek 8×1' (6 km)")</f>
        <v>1</v>
      </c>
    </row>
    <row r="62" customFormat="false" ht="15" hidden="false" customHeight="true" outlineLevel="0" collapsed="false">
      <c r="A62" s="53" t="s">
        <v>100</v>
      </c>
      <c r="B62" s="53" t="s">
        <v>229</v>
      </c>
      <c r="C62" s="53" t="s">
        <v>230</v>
      </c>
      <c r="D62" s="53" t="s">
        <v>231</v>
      </c>
      <c r="E62" s="53" t="s">
        <v>232</v>
      </c>
      <c r="F62" s="53" t="s">
        <v>233</v>
      </c>
    </row>
    <row r="63" customFormat="false" ht="15" hidden="false" customHeight="true" outlineLevel="0" collapsed="false">
      <c r="A63" s="8" t="n">
        <v>1</v>
      </c>
      <c r="B63" s="8" t="s">
        <v>234</v>
      </c>
      <c r="C63" s="8" t="s">
        <v>235</v>
      </c>
      <c r="D63" s="8" t="s">
        <v>271</v>
      </c>
      <c r="E63" s="8" t="s">
        <v>241</v>
      </c>
      <c r="F63" s="8" t="s">
        <v>272</v>
      </c>
    </row>
    <row r="64" customFormat="false" ht="15" hidden="false" customHeight="true" outlineLevel="0" collapsed="false">
      <c r="A64" s="8" t="n">
        <v>2</v>
      </c>
      <c r="B64" s="8" t="s">
        <v>273</v>
      </c>
      <c r="C64" s="8" t="s">
        <v>251</v>
      </c>
      <c r="D64" s="8" t="s">
        <v>274</v>
      </c>
      <c r="E64" s="8" t="s">
        <v>149</v>
      </c>
      <c r="F64" s="8" t="s">
        <v>275</v>
      </c>
    </row>
    <row r="65" customFormat="false" ht="15" hidden="false" customHeight="true" outlineLevel="0" collapsed="false">
      <c r="A65" s="8" t="n">
        <v>3</v>
      </c>
      <c r="B65" s="8" t="s">
        <v>276</v>
      </c>
      <c r="C65" s="8" t="s">
        <v>255</v>
      </c>
      <c r="D65" s="8" t="s">
        <v>260</v>
      </c>
      <c r="E65" s="8" t="s">
        <v>277</v>
      </c>
      <c r="F65" s="8" t="s">
        <v>278</v>
      </c>
    </row>
    <row r="66" customFormat="false" ht="15" hidden="false" customHeight="true" outlineLevel="0" collapsed="false">
      <c r="A66" s="8" t="n">
        <v>4</v>
      </c>
      <c r="B66" s="8" t="s">
        <v>239</v>
      </c>
      <c r="C66" s="8" t="s">
        <v>255</v>
      </c>
      <c r="D66" s="8" t="s">
        <v>260</v>
      </c>
      <c r="E66" s="8" t="s">
        <v>237</v>
      </c>
      <c r="F66" s="8" t="s">
        <v>279</v>
      </c>
    </row>
    <row r="67" customFormat="false" ht="15" hidden="false" customHeight="true" outlineLevel="0" collapsed="false">
      <c r="A67" s="8" t="n">
        <v>5</v>
      </c>
      <c r="B67" s="8" t="s">
        <v>263</v>
      </c>
      <c r="C67" s="8" t="s">
        <v>235</v>
      </c>
      <c r="D67" s="8" t="s">
        <v>280</v>
      </c>
      <c r="E67" s="8" t="s">
        <v>237</v>
      </c>
      <c r="F67" s="8" t="s">
        <v>265</v>
      </c>
    </row>
    <row r="69" customFormat="false" ht="15" hidden="false" customHeight="true" outlineLevel="0" collapsed="false">
      <c r="A69" s="48" t="s">
        <v>173</v>
      </c>
      <c r="B69" s="49"/>
      <c r="C69" s="49"/>
      <c r="D69" s="48" t="s">
        <v>226</v>
      </c>
      <c r="E69" s="50" t="n">
        <v>11</v>
      </c>
      <c r="F69" s="49"/>
    </row>
    <row r="70" customFormat="false" ht="15" hidden="false" customHeight="true" outlineLevel="0" collapsed="false">
      <c r="A70" s="51" t="s">
        <v>227</v>
      </c>
      <c r="B70" s="52" t="n">
        <v>46355</v>
      </c>
      <c r="C70" s="51" t="s">
        <v>228</v>
      </c>
      <c r="D70" s="5" t="n">
        <f aca="false">COUNTIF(Dagschema!$F$2:$F$190,"Lange duurloop 11 km")</f>
        <v>2</v>
      </c>
    </row>
    <row r="71" customFormat="false" ht="15" hidden="false" customHeight="true" outlineLevel="0" collapsed="false">
      <c r="A71" s="53" t="s">
        <v>100</v>
      </c>
      <c r="B71" s="53" t="s">
        <v>229</v>
      </c>
      <c r="C71" s="53" t="s">
        <v>230</v>
      </c>
      <c r="D71" s="53" t="s">
        <v>231</v>
      </c>
      <c r="E71" s="53" t="s">
        <v>232</v>
      </c>
      <c r="F71" s="53" t="s">
        <v>233</v>
      </c>
    </row>
    <row r="72" customFormat="false" ht="15" hidden="false" customHeight="true" outlineLevel="0" collapsed="false">
      <c r="A72" s="8" t="n">
        <v>1</v>
      </c>
      <c r="B72" s="8" t="s">
        <v>234</v>
      </c>
      <c r="C72" s="8" t="s">
        <v>235</v>
      </c>
      <c r="D72" s="8" t="s">
        <v>236</v>
      </c>
      <c r="E72" s="8" t="s">
        <v>237</v>
      </c>
      <c r="F72" s="8" t="s">
        <v>243</v>
      </c>
    </row>
    <row r="73" customFormat="false" ht="15" hidden="false" customHeight="true" outlineLevel="0" collapsed="false">
      <c r="A73" s="8" t="n">
        <v>2</v>
      </c>
      <c r="B73" s="8" t="s">
        <v>244</v>
      </c>
      <c r="C73" s="8" t="s">
        <v>235</v>
      </c>
      <c r="D73" s="8" t="s">
        <v>281</v>
      </c>
      <c r="E73" s="8" t="s">
        <v>241</v>
      </c>
      <c r="F73" s="8" t="s">
        <v>246</v>
      </c>
    </row>
    <row r="75" customFormat="false" ht="15" hidden="false" customHeight="true" outlineLevel="0" collapsed="false">
      <c r="A75" s="48" t="s">
        <v>175</v>
      </c>
      <c r="B75" s="49"/>
      <c r="C75" s="49"/>
      <c r="D75" s="48" t="s">
        <v>226</v>
      </c>
      <c r="E75" s="50" t="n">
        <v>6</v>
      </c>
      <c r="F75" s="49"/>
    </row>
    <row r="76" customFormat="false" ht="15" hidden="false" customHeight="true" outlineLevel="0" collapsed="false">
      <c r="A76" s="51" t="s">
        <v>227</v>
      </c>
      <c r="B76" s="52" t="n">
        <v>46356</v>
      </c>
      <c r="C76" s="51" t="s">
        <v>228</v>
      </c>
      <c r="D76" s="5" t="n">
        <f aca="false">COUNTIF(Dagschema!$F$2:$F$190,"Rustig 6 km")</f>
        <v>8</v>
      </c>
    </row>
    <row r="77" customFormat="false" ht="15" hidden="false" customHeight="true" outlineLevel="0" collapsed="false">
      <c r="A77" s="53" t="s">
        <v>100</v>
      </c>
      <c r="B77" s="53" t="s">
        <v>229</v>
      </c>
      <c r="C77" s="53" t="s">
        <v>230</v>
      </c>
      <c r="D77" s="53" t="s">
        <v>231</v>
      </c>
      <c r="E77" s="53" t="s">
        <v>232</v>
      </c>
      <c r="F77" s="53" t="s">
        <v>233</v>
      </c>
    </row>
    <row r="78" customFormat="false" ht="15" hidden="false" customHeight="true" outlineLevel="0" collapsed="false">
      <c r="A78" s="8" t="n">
        <v>1</v>
      </c>
      <c r="B78" s="8" t="s">
        <v>234</v>
      </c>
      <c r="C78" s="8" t="s">
        <v>235</v>
      </c>
      <c r="D78" s="8" t="s">
        <v>236</v>
      </c>
      <c r="E78" s="8" t="s">
        <v>237</v>
      </c>
      <c r="F78" s="8" t="s">
        <v>238</v>
      </c>
    </row>
    <row r="79" customFormat="false" ht="15" hidden="false" customHeight="true" outlineLevel="0" collapsed="false">
      <c r="A79" s="8" t="n">
        <v>2</v>
      </c>
      <c r="B79" s="8" t="s">
        <v>239</v>
      </c>
      <c r="C79" s="8" t="s">
        <v>235</v>
      </c>
      <c r="D79" s="8" t="s">
        <v>282</v>
      </c>
      <c r="E79" s="8" t="s">
        <v>241</v>
      </c>
      <c r="F79" s="8" t="s">
        <v>242</v>
      </c>
    </row>
    <row r="81" customFormat="false" ht="15" hidden="false" customHeight="true" outlineLevel="0" collapsed="false">
      <c r="A81" s="48" t="s">
        <v>116</v>
      </c>
      <c r="B81" s="49"/>
      <c r="C81" s="49"/>
      <c r="D81" s="48" t="s">
        <v>226</v>
      </c>
      <c r="E81" s="50" t="n">
        <v>7</v>
      </c>
      <c r="F81" s="49"/>
    </row>
    <row r="82" customFormat="false" ht="15" hidden="false" customHeight="true" outlineLevel="0" collapsed="false">
      <c r="A82" s="51" t="s">
        <v>227</v>
      </c>
      <c r="B82" s="52" t="n">
        <v>46358</v>
      </c>
      <c r="C82" s="51" t="s">
        <v>228</v>
      </c>
      <c r="D82" s="5" t="n">
        <f aca="false">COUNTIF(Dagschema!$F$2:$F$190,"Fartlek 8×1' (7 km)")</f>
        <v>3</v>
      </c>
    </row>
    <row r="83" customFormat="false" ht="15" hidden="false" customHeight="true" outlineLevel="0" collapsed="false">
      <c r="A83" s="53" t="s">
        <v>100</v>
      </c>
      <c r="B83" s="53" t="s">
        <v>229</v>
      </c>
      <c r="C83" s="53" t="s">
        <v>230</v>
      </c>
      <c r="D83" s="53" t="s">
        <v>231</v>
      </c>
      <c r="E83" s="53" t="s">
        <v>232</v>
      </c>
      <c r="F83" s="53" t="s">
        <v>233</v>
      </c>
    </row>
    <row r="84" customFormat="false" ht="15" hidden="false" customHeight="true" outlineLevel="0" collapsed="false">
      <c r="A84" s="8" t="n">
        <v>1</v>
      </c>
      <c r="B84" s="8" t="s">
        <v>234</v>
      </c>
      <c r="C84" s="8" t="s">
        <v>235</v>
      </c>
      <c r="D84" s="8" t="s">
        <v>271</v>
      </c>
      <c r="E84" s="8" t="s">
        <v>241</v>
      </c>
      <c r="F84" s="8" t="s">
        <v>272</v>
      </c>
    </row>
    <row r="85" customFormat="false" ht="15" hidden="false" customHeight="true" outlineLevel="0" collapsed="false">
      <c r="A85" s="8" t="n">
        <v>2</v>
      </c>
      <c r="B85" s="8" t="s">
        <v>273</v>
      </c>
      <c r="C85" s="8" t="s">
        <v>251</v>
      </c>
      <c r="D85" s="8" t="s">
        <v>274</v>
      </c>
      <c r="E85" s="8" t="s">
        <v>149</v>
      </c>
      <c r="F85" s="8" t="s">
        <v>275</v>
      </c>
    </row>
    <row r="86" customFormat="false" ht="15" hidden="false" customHeight="true" outlineLevel="0" collapsed="false">
      <c r="A86" s="8" t="n">
        <v>3</v>
      </c>
      <c r="B86" s="8" t="s">
        <v>276</v>
      </c>
      <c r="C86" s="8" t="s">
        <v>255</v>
      </c>
      <c r="D86" s="8" t="s">
        <v>260</v>
      </c>
      <c r="E86" s="8" t="s">
        <v>277</v>
      </c>
      <c r="F86" s="8" t="s">
        <v>278</v>
      </c>
    </row>
    <row r="87" customFormat="false" ht="15" hidden="false" customHeight="true" outlineLevel="0" collapsed="false">
      <c r="A87" s="8" t="n">
        <v>4</v>
      </c>
      <c r="B87" s="8" t="s">
        <v>239</v>
      </c>
      <c r="C87" s="8" t="s">
        <v>255</v>
      </c>
      <c r="D87" s="8" t="s">
        <v>260</v>
      </c>
      <c r="E87" s="8" t="s">
        <v>237</v>
      </c>
      <c r="F87" s="8" t="s">
        <v>279</v>
      </c>
    </row>
    <row r="88" customFormat="false" ht="15" hidden="false" customHeight="true" outlineLevel="0" collapsed="false">
      <c r="A88" s="8" t="n">
        <v>5</v>
      </c>
      <c r="B88" s="8" t="s">
        <v>263</v>
      </c>
      <c r="C88" s="8" t="s">
        <v>235</v>
      </c>
      <c r="D88" s="8" t="s">
        <v>283</v>
      </c>
      <c r="E88" s="8" t="s">
        <v>237</v>
      </c>
      <c r="F88" s="8" t="s">
        <v>265</v>
      </c>
    </row>
    <row r="90" customFormat="false" ht="15" hidden="false" customHeight="true" outlineLevel="0" collapsed="false">
      <c r="A90" s="48" t="s">
        <v>178</v>
      </c>
      <c r="B90" s="49"/>
      <c r="C90" s="49"/>
      <c r="D90" s="48" t="s">
        <v>226</v>
      </c>
      <c r="E90" s="50" t="n">
        <v>12</v>
      </c>
      <c r="F90" s="49"/>
    </row>
    <row r="91" customFormat="false" ht="15" hidden="false" customHeight="true" outlineLevel="0" collapsed="false">
      <c r="A91" s="51" t="s">
        <v>227</v>
      </c>
      <c r="B91" s="52" t="n">
        <v>46362</v>
      </c>
      <c r="C91" s="51" t="s">
        <v>228</v>
      </c>
      <c r="D91" s="5" t="n">
        <f aca="false">COUNTIF(Dagschema!$F$2:$F$190,"Lange duurloop 12 km")</f>
        <v>4</v>
      </c>
    </row>
    <row r="92" customFormat="false" ht="15" hidden="false" customHeight="true" outlineLevel="0" collapsed="false">
      <c r="A92" s="53" t="s">
        <v>100</v>
      </c>
      <c r="B92" s="53" t="s">
        <v>229</v>
      </c>
      <c r="C92" s="53" t="s">
        <v>230</v>
      </c>
      <c r="D92" s="53" t="s">
        <v>231</v>
      </c>
      <c r="E92" s="53" t="s">
        <v>232</v>
      </c>
      <c r="F92" s="53" t="s">
        <v>233</v>
      </c>
    </row>
    <row r="93" customFormat="false" ht="15" hidden="false" customHeight="true" outlineLevel="0" collapsed="false">
      <c r="A93" s="8" t="n">
        <v>1</v>
      </c>
      <c r="B93" s="8" t="s">
        <v>234</v>
      </c>
      <c r="C93" s="8" t="s">
        <v>235</v>
      </c>
      <c r="D93" s="8" t="s">
        <v>236</v>
      </c>
      <c r="E93" s="8" t="s">
        <v>237</v>
      </c>
      <c r="F93" s="8" t="s">
        <v>243</v>
      </c>
    </row>
    <row r="94" customFormat="false" ht="15" hidden="false" customHeight="true" outlineLevel="0" collapsed="false">
      <c r="A94" s="8" t="n">
        <v>2</v>
      </c>
      <c r="B94" s="8" t="s">
        <v>244</v>
      </c>
      <c r="C94" s="8" t="s">
        <v>235</v>
      </c>
      <c r="D94" s="8" t="s">
        <v>284</v>
      </c>
      <c r="E94" s="8" t="s">
        <v>241</v>
      </c>
      <c r="F94" s="8" t="s">
        <v>246</v>
      </c>
    </row>
    <row r="96" customFormat="false" ht="15" hidden="false" customHeight="true" outlineLevel="0" collapsed="false">
      <c r="A96" s="48" t="s">
        <v>180</v>
      </c>
      <c r="B96" s="49"/>
      <c r="C96" s="49"/>
      <c r="D96" s="48" t="s">
        <v>226</v>
      </c>
      <c r="E96" s="50" t="n">
        <v>7</v>
      </c>
      <c r="F96" s="49"/>
    </row>
    <row r="97" customFormat="false" ht="15" hidden="false" customHeight="true" outlineLevel="0" collapsed="false">
      <c r="A97" s="51" t="s">
        <v>227</v>
      </c>
      <c r="B97" s="52" t="n">
        <v>46377</v>
      </c>
      <c r="C97" s="51" t="s">
        <v>228</v>
      </c>
      <c r="D97" s="5" t="n">
        <f aca="false">COUNTIF(Dagschema!$F$2:$F$190,"Rustig 7 km")</f>
        <v>6</v>
      </c>
    </row>
    <row r="98" customFormat="false" ht="15" hidden="false" customHeight="true" outlineLevel="0" collapsed="false">
      <c r="A98" s="53" t="s">
        <v>100</v>
      </c>
      <c r="B98" s="53" t="s">
        <v>229</v>
      </c>
      <c r="C98" s="53" t="s">
        <v>230</v>
      </c>
      <c r="D98" s="53" t="s">
        <v>231</v>
      </c>
      <c r="E98" s="53" t="s">
        <v>232</v>
      </c>
      <c r="F98" s="53" t="s">
        <v>233</v>
      </c>
    </row>
    <row r="99" customFormat="false" ht="15" hidden="false" customHeight="true" outlineLevel="0" collapsed="false">
      <c r="A99" s="8" t="n">
        <v>1</v>
      </c>
      <c r="B99" s="8" t="s">
        <v>234</v>
      </c>
      <c r="C99" s="8" t="s">
        <v>235</v>
      </c>
      <c r="D99" s="8" t="s">
        <v>236</v>
      </c>
      <c r="E99" s="8" t="s">
        <v>237</v>
      </c>
      <c r="F99" s="8" t="s">
        <v>238</v>
      </c>
    </row>
    <row r="100" customFormat="false" ht="15" hidden="false" customHeight="true" outlineLevel="0" collapsed="false">
      <c r="A100" s="8" t="n">
        <v>2</v>
      </c>
      <c r="B100" s="8" t="s">
        <v>239</v>
      </c>
      <c r="C100" s="8" t="s">
        <v>235</v>
      </c>
      <c r="D100" s="8" t="s">
        <v>245</v>
      </c>
      <c r="E100" s="8" t="s">
        <v>241</v>
      </c>
      <c r="F100" s="8" t="s">
        <v>242</v>
      </c>
    </row>
    <row r="102" customFormat="false" ht="15" hidden="false" customHeight="true" outlineLevel="0" collapsed="false">
      <c r="A102" s="48" t="s">
        <v>182</v>
      </c>
      <c r="B102" s="49"/>
      <c r="C102" s="49"/>
      <c r="D102" s="48" t="s">
        <v>226</v>
      </c>
      <c r="E102" s="50" t="n">
        <v>13</v>
      </c>
      <c r="F102" s="49"/>
    </row>
    <row r="103" customFormat="false" ht="15" hidden="false" customHeight="true" outlineLevel="0" collapsed="false">
      <c r="A103" s="51" t="s">
        <v>227</v>
      </c>
      <c r="B103" s="52" t="n">
        <v>46383</v>
      </c>
      <c r="C103" s="51" t="s">
        <v>228</v>
      </c>
      <c r="D103" s="5" t="n">
        <f aca="false">COUNTIF(Dagschema!$F$2:$F$190,"Lange duurloop 13 km")</f>
        <v>3</v>
      </c>
    </row>
    <row r="104" customFormat="false" ht="15" hidden="false" customHeight="true" outlineLevel="0" collapsed="false">
      <c r="A104" s="53" t="s">
        <v>100</v>
      </c>
      <c r="B104" s="53" t="s">
        <v>229</v>
      </c>
      <c r="C104" s="53" t="s">
        <v>230</v>
      </c>
      <c r="D104" s="53" t="s">
        <v>231</v>
      </c>
      <c r="E104" s="53" t="s">
        <v>232</v>
      </c>
      <c r="F104" s="53" t="s">
        <v>233</v>
      </c>
    </row>
    <row r="105" customFormat="false" ht="15" hidden="false" customHeight="true" outlineLevel="0" collapsed="false">
      <c r="A105" s="8" t="n">
        <v>1</v>
      </c>
      <c r="B105" s="8" t="s">
        <v>234</v>
      </c>
      <c r="C105" s="8" t="s">
        <v>235</v>
      </c>
      <c r="D105" s="8" t="s">
        <v>236</v>
      </c>
      <c r="E105" s="8" t="s">
        <v>237</v>
      </c>
      <c r="F105" s="8" t="s">
        <v>243</v>
      </c>
    </row>
    <row r="106" customFormat="false" ht="15" hidden="false" customHeight="true" outlineLevel="0" collapsed="false">
      <c r="A106" s="8" t="n">
        <v>2</v>
      </c>
      <c r="B106" s="8" t="s">
        <v>244</v>
      </c>
      <c r="C106" s="8" t="s">
        <v>235</v>
      </c>
      <c r="D106" s="8" t="s">
        <v>285</v>
      </c>
      <c r="E106" s="8" t="s">
        <v>241</v>
      </c>
      <c r="F106" s="8" t="s">
        <v>246</v>
      </c>
    </row>
    <row r="108" customFormat="false" ht="15" hidden="false" customHeight="true" outlineLevel="0" collapsed="false">
      <c r="A108" s="48" t="s">
        <v>117</v>
      </c>
      <c r="B108" s="49"/>
      <c r="C108" s="49"/>
      <c r="D108" s="48" t="s">
        <v>226</v>
      </c>
      <c r="E108" s="50" t="n">
        <v>7.3</v>
      </c>
      <c r="F108" s="49"/>
    </row>
    <row r="109" customFormat="false" ht="15" hidden="false" customHeight="true" outlineLevel="0" collapsed="false">
      <c r="A109" s="51" t="s">
        <v>227</v>
      </c>
      <c r="B109" s="52" t="n">
        <v>46386</v>
      </c>
      <c r="C109" s="51" t="s">
        <v>228</v>
      </c>
      <c r="D109" s="5" t="n">
        <f aca="false">COUNTIF(Dagschema!$F$2:$F$190,"Rustig 7 km + strides")</f>
        <v>5</v>
      </c>
    </row>
    <row r="110" customFormat="false" ht="15" hidden="false" customHeight="true" outlineLevel="0" collapsed="false">
      <c r="A110" s="53" t="s">
        <v>100</v>
      </c>
      <c r="B110" s="53" t="s">
        <v>229</v>
      </c>
      <c r="C110" s="53" t="s">
        <v>230</v>
      </c>
      <c r="D110" s="53" t="s">
        <v>231</v>
      </c>
      <c r="E110" s="53" t="s">
        <v>232</v>
      </c>
      <c r="F110" s="53" t="s">
        <v>233</v>
      </c>
    </row>
    <row r="111" customFormat="false" ht="15" hidden="false" customHeight="true" outlineLevel="0" collapsed="false">
      <c r="A111" s="8" t="n">
        <v>1</v>
      </c>
      <c r="B111" s="8" t="s">
        <v>234</v>
      </c>
      <c r="C111" s="8" t="s">
        <v>235</v>
      </c>
      <c r="D111" s="8" t="s">
        <v>236</v>
      </c>
      <c r="E111" s="8" t="s">
        <v>237</v>
      </c>
      <c r="F111" s="8" t="s">
        <v>247</v>
      </c>
    </row>
    <row r="112" customFormat="false" ht="15" hidden="false" customHeight="true" outlineLevel="0" collapsed="false">
      <c r="A112" s="8" t="n">
        <v>2</v>
      </c>
      <c r="B112" s="8" t="s">
        <v>239</v>
      </c>
      <c r="C112" s="8" t="s">
        <v>235</v>
      </c>
      <c r="D112" s="8" t="s">
        <v>286</v>
      </c>
      <c r="E112" s="8" t="s">
        <v>241</v>
      </c>
      <c r="F112" s="8" t="s">
        <v>249</v>
      </c>
    </row>
    <row r="113" customFormat="false" ht="15" hidden="false" customHeight="true" outlineLevel="0" collapsed="false">
      <c r="A113" s="8" t="n">
        <v>3</v>
      </c>
      <c r="B113" s="8" t="s">
        <v>250</v>
      </c>
      <c r="C113" s="8" t="s">
        <v>251</v>
      </c>
      <c r="D113" s="8" t="s">
        <v>252</v>
      </c>
      <c r="E113" s="8" t="s">
        <v>149</v>
      </c>
      <c r="F113" s="8" t="s">
        <v>253</v>
      </c>
    </row>
    <row r="114" customFormat="false" ht="15" hidden="false" customHeight="true" outlineLevel="0" collapsed="false">
      <c r="A114" s="8" t="n">
        <v>4</v>
      </c>
      <c r="B114" s="8" t="s">
        <v>254</v>
      </c>
      <c r="C114" s="8" t="s">
        <v>255</v>
      </c>
      <c r="D114" s="8" t="s">
        <v>256</v>
      </c>
      <c r="E114" s="8" t="s">
        <v>257</v>
      </c>
      <c r="F114" s="8" t="s">
        <v>258</v>
      </c>
    </row>
    <row r="115" customFormat="false" ht="15" hidden="false" customHeight="true" outlineLevel="0" collapsed="false">
      <c r="A115" s="8" t="n">
        <v>5</v>
      </c>
      <c r="B115" s="8" t="s">
        <v>259</v>
      </c>
      <c r="C115" s="8" t="s">
        <v>255</v>
      </c>
      <c r="D115" s="8" t="s">
        <v>260</v>
      </c>
      <c r="E115" s="8" t="s">
        <v>261</v>
      </c>
      <c r="F115" s="8" t="s">
        <v>262</v>
      </c>
    </row>
    <row r="116" customFormat="false" ht="15" hidden="false" customHeight="true" outlineLevel="0" collapsed="false">
      <c r="A116" s="8" t="n">
        <v>6</v>
      </c>
      <c r="B116" s="8" t="s">
        <v>263</v>
      </c>
      <c r="C116" s="8" t="s">
        <v>235</v>
      </c>
      <c r="D116" s="8" t="s">
        <v>264</v>
      </c>
      <c r="E116" s="8" t="s">
        <v>237</v>
      </c>
      <c r="F116" s="8" t="s">
        <v>265</v>
      </c>
    </row>
    <row r="118" customFormat="false" ht="15" hidden="false" customHeight="true" outlineLevel="0" collapsed="false">
      <c r="A118" s="48" t="s">
        <v>119</v>
      </c>
      <c r="B118" s="49"/>
      <c r="C118" s="49"/>
      <c r="D118" s="48" t="s">
        <v>226</v>
      </c>
      <c r="E118" s="50" t="n">
        <v>7</v>
      </c>
      <c r="F118" s="49"/>
    </row>
    <row r="119" customFormat="false" ht="15" hidden="false" customHeight="true" outlineLevel="0" collapsed="false">
      <c r="A119" s="51" t="s">
        <v>227</v>
      </c>
      <c r="B119" s="52" t="n">
        <v>46400</v>
      </c>
      <c r="C119" s="51" t="s">
        <v>228</v>
      </c>
      <c r="D119" s="5" t="n">
        <f aca="false">COUNTIF(Dagschema!$F$2:$F$190,"Tempo 3×6'")</f>
        <v>1</v>
      </c>
    </row>
    <row r="120" customFormat="false" ht="15" hidden="false" customHeight="true" outlineLevel="0" collapsed="false">
      <c r="A120" s="53" t="s">
        <v>100</v>
      </c>
      <c r="B120" s="53" t="s">
        <v>229</v>
      </c>
      <c r="C120" s="53" t="s">
        <v>230</v>
      </c>
      <c r="D120" s="53" t="s">
        <v>231</v>
      </c>
      <c r="E120" s="53" t="s">
        <v>232</v>
      </c>
      <c r="F120" s="53" t="s">
        <v>233</v>
      </c>
    </row>
    <row r="121" customFormat="false" ht="15" hidden="false" customHeight="true" outlineLevel="0" collapsed="false">
      <c r="A121" s="8" t="n">
        <v>1</v>
      </c>
      <c r="B121" s="8" t="s">
        <v>234</v>
      </c>
      <c r="C121" s="8" t="s">
        <v>235</v>
      </c>
      <c r="D121" s="8" t="s">
        <v>271</v>
      </c>
      <c r="E121" s="8" t="s">
        <v>241</v>
      </c>
      <c r="F121" s="8" t="s">
        <v>287</v>
      </c>
    </row>
    <row r="122" customFormat="false" ht="15" hidden="false" customHeight="true" outlineLevel="0" collapsed="false">
      <c r="A122" s="8" t="n">
        <v>2</v>
      </c>
      <c r="B122" s="8" t="s">
        <v>288</v>
      </c>
      <c r="C122" s="8" t="s">
        <v>251</v>
      </c>
      <c r="D122" s="8" t="s">
        <v>289</v>
      </c>
      <c r="E122" s="8" t="s">
        <v>149</v>
      </c>
      <c r="F122" s="8" t="s">
        <v>290</v>
      </c>
    </row>
    <row r="123" customFormat="false" ht="15" hidden="false" customHeight="true" outlineLevel="0" collapsed="false">
      <c r="A123" s="8" t="n">
        <v>3</v>
      </c>
      <c r="B123" s="8" t="s">
        <v>291</v>
      </c>
      <c r="C123" s="8" t="s">
        <v>255</v>
      </c>
      <c r="D123" s="8" t="s">
        <v>292</v>
      </c>
      <c r="E123" s="8" t="s">
        <v>277</v>
      </c>
      <c r="F123" s="8" t="s">
        <v>293</v>
      </c>
    </row>
    <row r="124" customFormat="false" ht="15" hidden="false" customHeight="true" outlineLevel="0" collapsed="false">
      <c r="A124" s="8" t="n">
        <v>4</v>
      </c>
      <c r="B124" s="8" t="s">
        <v>259</v>
      </c>
      <c r="C124" s="8" t="s">
        <v>255</v>
      </c>
      <c r="D124" s="8" t="s">
        <v>294</v>
      </c>
      <c r="E124" s="8" t="s">
        <v>237</v>
      </c>
      <c r="F124" s="8" t="s">
        <v>295</v>
      </c>
    </row>
    <row r="125" customFormat="false" ht="15" hidden="false" customHeight="true" outlineLevel="0" collapsed="false">
      <c r="A125" s="8" t="n">
        <v>5</v>
      </c>
      <c r="B125" s="8" t="s">
        <v>263</v>
      </c>
      <c r="C125" s="8" t="s">
        <v>235</v>
      </c>
      <c r="D125" s="8" t="s">
        <v>296</v>
      </c>
      <c r="E125" s="8" t="s">
        <v>237</v>
      </c>
      <c r="F125" s="8" t="s">
        <v>265</v>
      </c>
    </row>
    <row r="127" customFormat="false" ht="15" hidden="false" customHeight="true" outlineLevel="0" collapsed="false">
      <c r="A127" s="48" t="s">
        <v>120</v>
      </c>
      <c r="B127" s="49"/>
      <c r="C127" s="49"/>
      <c r="D127" s="48" t="s">
        <v>226</v>
      </c>
      <c r="E127" s="50" t="n">
        <v>8</v>
      </c>
      <c r="F127" s="49"/>
    </row>
    <row r="128" customFormat="false" ht="15" hidden="false" customHeight="true" outlineLevel="0" collapsed="false">
      <c r="A128" s="51" t="s">
        <v>227</v>
      </c>
      <c r="B128" s="52" t="n">
        <v>46407</v>
      </c>
      <c r="C128" s="51" t="s">
        <v>228</v>
      </c>
      <c r="D128" s="5" t="n">
        <f aca="false">COUNTIF(Dagschema!$F$2:$F$190,"Tempo 3×8'")</f>
        <v>1</v>
      </c>
    </row>
    <row r="129" customFormat="false" ht="15" hidden="false" customHeight="true" outlineLevel="0" collapsed="false">
      <c r="A129" s="53" t="s">
        <v>100</v>
      </c>
      <c r="B129" s="53" t="s">
        <v>229</v>
      </c>
      <c r="C129" s="53" t="s">
        <v>230</v>
      </c>
      <c r="D129" s="53" t="s">
        <v>231</v>
      </c>
      <c r="E129" s="53" t="s">
        <v>232</v>
      </c>
      <c r="F129" s="53" t="s">
        <v>233</v>
      </c>
    </row>
    <row r="130" customFormat="false" ht="15" hidden="false" customHeight="true" outlineLevel="0" collapsed="false">
      <c r="A130" s="8" t="n">
        <v>1</v>
      </c>
      <c r="B130" s="8" t="s">
        <v>234</v>
      </c>
      <c r="C130" s="8" t="s">
        <v>235</v>
      </c>
      <c r="D130" s="8" t="s">
        <v>271</v>
      </c>
      <c r="E130" s="8" t="s">
        <v>241</v>
      </c>
      <c r="F130" s="8" t="s">
        <v>287</v>
      </c>
    </row>
    <row r="131" customFormat="false" ht="15" hidden="false" customHeight="true" outlineLevel="0" collapsed="false">
      <c r="A131" s="8" t="n">
        <v>2</v>
      </c>
      <c r="B131" s="8" t="s">
        <v>288</v>
      </c>
      <c r="C131" s="8" t="s">
        <v>251</v>
      </c>
      <c r="D131" s="8" t="s">
        <v>289</v>
      </c>
      <c r="E131" s="8" t="s">
        <v>149</v>
      </c>
      <c r="F131" s="8" t="s">
        <v>290</v>
      </c>
    </row>
    <row r="132" customFormat="false" ht="15" hidden="false" customHeight="true" outlineLevel="0" collapsed="false">
      <c r="A132" s="8" t="n">
        <v>3</v>
      </c>
      <c r="B132" s="8" t="s">
        <v>291</v>
      </c>
      <c r="C132" s="8" t="s">
        <v>255</v>
      </c>
      <c r="D132" s="8" t="s">
        <v>297</v>
      </c>
      <c r="E132" s="8" t="s">
        <v>277</v>
      </c>
      <c r="F132" s="8" t="s">
        <v>293</v>
      </c>
    </row>
    <row r="133" customFormat="false" ht="15" hidden="false" customHeight="true" outlineLevel="0" collapsed="false">
      <c r="A133" s="8" t="n">
        <v>4</v>
      </c>
      <c r="B133" s="8" t="s">
        <v>259</v>
      </c>
      <c r="C133" s="8" t="s">
        <v>255</v>
      </c>
      <c r="D133" s="8" t="s">
        <v>294</v>
      </c>
      <c r="E133" s="8" t="s">
        <v>237</v>
      </c>
      <c r="F133" s="8" t="s">
        <v>295</v>
      </c>
    </row>
    <row r="134" customFormat="false" ht="15" hidden="false" customHeight="true" outlineLevel="0" collapsed="false">
      <c r="A134" s="8" t="n">
        <v>5</v>
      </c>
      <c r="B134" s="8" t="s">
        <v>263</v>
      </c>
      <c r="C134" s="8" t="s">
        <v>235</v>
      </c>
      <c r="D134" s="8" t="s">
        <v>298</v>
      </c>
      <c r="E134" s="8" t="s">
        <v>237</v>
      </c>
      <c r="F134" s="8" t="s">
        <v>265</v>
      </c>
    </row>
    <row r="136" customFormat="false" ht="15" hidden="false" customHeight="true" outlineLevel="0" collapsed="false">
      <c r="A136" s="48" t="s">
        <v>121</v>
      </c>
      <c r="B136" s="49"/>
      <c r="C136" s="49"/>
      <c r="D136" s="48" t="s">
        <v>226</v>
      </c>
      <c r="E136" s="50" t="n">
        <v>9</v>
      </c>
      <c r="F136" s="49"/>
    </row>
    <row r="137" customFormat="false" ht="15" hidden="false" customHeight="true" outlineLevel="0" collapsed="false">
      <c r="A137" s="51" t="s">
        <v>227</v>
      </c>
      <c r="B137" s="52" t="n">
        <v>46414</v>
      </c>
      <c r="C137" s="51" t="s">
        <v>228</v>
      </c>
      <c r="D137" s="5" t="n">
        <f aca="false">COUNTIF(Dagschema!$F$2:$F$190,"Tempo 3×10'")</f>
        <v>1</v>
      </c>
    </row>
    <row r="138" customFormat="false" ht="15" hidden="false" customHeight="true" outlineLevel="0" collapsed="false">
      <c r="A138" s="53" t="s">
        <v>100</v>
      </c>
      <c r="B138" s="53" t="s">
        <v>229</v>
      </c>
      <c r="C138" s="53" t="s">
        <v>230</v>
      </c>
      <c r="D138" s="53" t="s">
        <v>231</v>
      </c>
      <c r="E138" s="53" t="s">
        <v>232</v>
      </c>
      <c r="F138" s="53" t="s">
        <v>233</v>
      </c>
    </row>
    <row r="139" customFormat="false" ht="15" hidden="false" customHeight="true" outlineLevel="0" collapsed="false">
      <c r="A139" s="8" t="n">
        <v>1</v>
      </c>
      <c r="B139" s="8" t="s">
        <v>234</v>
      </c>
      <c r="C139" s="8" t="s">
        <v>235</v>
      </c>
      <c r="D139" s="8" t="s">
        <v>271</v>
      </c>
      <c r="E139" s="8" t="s">
        <v>241</v>
      </c>
      <c r="F139" s="8" t="s">
        <v>287</v>
      </c>
    </row>
    <row r="140" customFormat="false" ht="15" hidden="false" customHeight="true" outlineLevel="0" collapsed="false">
      <c r="A140" s="8" t="n">
        <v>2</v>
      </c>
      <c r="B140" s="8" t="s">
        <v>288</v>
      </c>
      <c r="C140" s="8" t="s">
        <v>251</v>
      </c>
      <c r="D140" s="8" t="s">
        <v>289</v>
      </c>
      <c r="E140" s="8" t="s">
        <v>149</v>
      </c>
      <c r="F140" s="8" t="s">
        <v>290</v>
      </c>
    </row>
    <row r="141" customFormat="false" ht="15" hidden="false" customHeight="true" outlineLevel="0" collapsed="false">
      <c r="A141" s="8" t="n">
        <v>3</v>
      </c>
      <c r="B141" s="8" t="s">
        <v>291</v>
      </c>
      <c r="C141" s="8" t="s">
        <v>255</v>
      </c>
      <c r="D141" s="8" t="s">
        <v>299</v>
      </c>
      <c r="E141" s="8" t="s">
        <v>277</v>
      </c>
      <c r="F141" s="8" t="s">
        <v>293</v>
      </c>
    </row>
    <row r="142" customFormat="false" ht="15" hidden="false" customHeight="true" outlineLevel="0" collapsed="false">
      <c r="A142" s="8" t="n">
        <v>4</v>
      </c>
      <c r="B142" s="8" t="s">
        <v>259</v>
      </c>
      <c r="C142" s="8" t="s">
        <v>255</v>
      </c>
      <c r="D142" s="8" t="s">
        <v>294</v>
      </c>
      <c r="E142" s="8" t="s">
        <v>237</v>
      </c>
      <c r="F142" s="8" t="s">
        <v>295</v>
      </c>
    </row>
    <row r="143" customFormat="false" ht="15" hidden="false" customHeight="true" outlineLevel="0" collapsed="false">
      <c r="A143" s="8" t="n">
        <v>5</v>
      </c>
      <c r="B143" s="8" t="s">
        <v>263</v>
      </c>
      <c r="C143" s="8" t="s">
        <v>235</v>
      </c>
      <c r="D143" s="8" t="s">
        <v>236</v>
      </c>
      <c r="E143" s="8" t="s">
        <v>237</v>
      </c>
      <c r="F143" s="8" t="s">
        <v>265</v>
      </c>
    </row>
    <row r="145" customFormat="false" ht="15" hidden="false" customHeight="true" outlineLevel="0" collapsed="false">
      <c r="A145" s="48" t="s">
        <v>191</v>
      </c>
      <c r="B145" s="49"/>
      <c r="C145" s="49"/>
      <c r="D145" s="48" t="s">
        <v>226</v>
      </c>
      <c r="E145" s="50" t="n">
        <v>14</v>
      </c>
      <c r="F145" s="49"/>
    </row>
    <row r="146" customFormat="false" ht="15" hidden="false" customHeight="true" outlineLevel="0" collapsed="false">
      <c r="A146" s="51" t="s">
        <v>227</v>
      </c>
      <c r="B146" s="52" t="n">
        <v>46418</v>
      </c>
      <c r="C146" s="51" t="s">
        <v>228</v>
      </c>
      <c r="D146" s="5" t="n">
        <f aca="false">COUNTIF(Dagschema!$F$2:$F$190,"Lange duurloop 14 km")</f>
        <v>1</v>
      </c>
    </row>
    <row r="147" customFormat="false" ht="15" hidden="false" customHeight="true" outlineLevel="0" collapsed="false">
      <c r="A147" s="53" t="s">
        <v>100</v>
      </c>
      <c r="B147" s="53" t="s">
        <v>229</v>
      </c>
      <c r="C147" s="53" t="s">
        <v>230</v>
      </c>
      <c r="D147" s="53" t="s">
        <v>231</v>
      </c>
      <c r="E147" s="53" t="s">
        <v>232</v>
      </c>
      <c r="F147" s="53" t="s">
        <v>233</v>
      </c>
    </row>
    <row r="148" customFormat="false" ht="15" hidden="false" customHeight="true" outlineLevel="0" collapsed="false">
      <c r="A148" s="8" t="n">
        <v>1</v>
      </c>
      <c r="B148" s="8" t="s">
        <v>234</v>
      </c>
      <c r="C148" s="8" t="s">
        <v>235</v>
      </c>
      <c r="D148" s="8" t="s">
        <v>236</v>
      </c>
      <c r="E148" s="8" t="s">
        <v>237</v>
      </c>
      <c r="F148" s="8" t="s">
        <v>243</v>
      </c>
    </row>
    <row r="149" customFormat="false" ht="15" hidden="false" customHeight="true" outlineLevel="0" collapsed="false">
      <c r="A149" s="8" t="n">
        <v>2</v>
      </c>
      <c r="B149" s="8" t="s">
        <v>244</v>
      </c>
      <c r="C149" s="8" t="s">
        <v>235</v>
      </c>
      <c r="D149" s="8" t="s">
        <v>300</v>
      </c>
      <c r="E149" s="8" t="s">
        <v>241</v>
      </c>
      <c r="F149" s="8" t="s">
        <v>246</v>
      </c>
    </row>
    <row r="151" customFormat="false" ht="15" hidden="false" customHeight="true" outlineLevel="0" collapsed="false">
      <c r="A151" s="48" t="s">
        <v>122</v>
      </c>
      <c r="B151" s="49"/>
      <c r="C151" s="49"/>
      <c r="D151" s="48" t="s">
        <v>226</v>
      </c>
      <c r="E151" s="50" t="n">
        <v>10</v>
      </c>
      <c r="F151" s="49"/>
    </row>
    <row r="152" customFormat="false" ht="15" hidden="false" customHeight="true" outlineLevel="0" collapsed="false">
      <c r="A152" s="51" t="s">
        <v>227</v>
      </c>
      <c r="B152" s="52" t="n">
        <v>46428</v>
      </c>
      <c r="C152" s="51" t="s">
        <v>228</v>
      </c>
      <c r="D152" s="5" t="n">
        <f aca="false">COUNTIF(Dagschema!$F$2:$F$190,"Tempo 2×15'")</f>
        <v>2</v>
      </c>
    </row>
    <row r="153" customFormat="false" ht="15" hidden="false" customHeight="true" outlineLevel="0" collapsed="false">
      <c r="A153" s="53" t="s">
        <v>100</v>
      </c>
      <c r="B153" s="53" t="s">
        <v>229</v>
      </c>
      <c r="C153" s="53" t="s">
        <v>230</v>
      </c>
      <c r="D153" s="53" t="s">
        <v>231</v>
      </c>
      <c r="E153" s="53" t="s">
        <v>232</v>
      </c>
      <c r="F153" s="53" t="s">
        <v>233</v>
      </c>
    </row>
    <row r="154" customFormat="false" ht="15" hidden="false" customHeight="true" outlineLevel="0" collapsed="false">
      <c r="A154" s="8" t="n">
        <v>1</v>
      </c>
      <c r="B154" s="8" t="s">
        <v>234</v>
      </c>
      <c r="C154" s="8" t="s">
        <v>235</v>
      </c>
      <c r="D154" s="8" t="s">
        <v>271</v>
      </c>
      <c r="E154" s="8" t="s">
        <v>241</v>
      </c>
      <c r="F154" s="8" t="s">
        <v>287</v>
      </c>
    </row>
    <row r="155" customFormat="false" ht="15" hidden="false" customHeight="true" outlineLevel="0" collapsed="false">
      <c r="A155" s="8" t="n">
        <v>2</v>
      </c>
      <c r="B155" s="8" t="s">
        <v>301</v>
      </c>
      <c r="C155" s="8" t="s">
        <v>251</v>
      </c>
      <c r="D155" s="8" t="s">
        <v>302</v>
      </c>
      <c r="E155" s="8" t="s">
        <v>149</v>
      </c>
      <c r="F155" s="8" t="s">
        <v>303</v>
      </c>
    </row>
    <row r="156" customFormat="false" ht="15" hidden="false" customHeight="true" outlineLevel="0" collapsed="false">
      <c r="A156" s="8" t="n">
        <v>3</v>
      </c>
      <c r="B156" s="8" t="s">
        <v>291</v>
      </c>
      <c r="C156" s="8" t="s">
        <v>255</v>
      </c>
      <c r="D156" s="8" t="s">
        <v>304</v>
      </c>
      <c r="E156" s="8" t="s">
        <v>277</v>
      </c>
      <c r="F156" s="8" t="s">
        <v>305</v>
      </c>
    </row>
    <row r="157" customFormat="false" ht="15" hidden="false" customHeight="true" outlineLevel="0" collapsed="false">
      <c r="A157" s="8" t="n">
        <v>4</v>
      </c>
      <c r="B157" s="8" t="s">
        <v>259</v>
      </c>
      <c r="C157" s="8" t="s">
        <v>255</v>
      </c>
      <c r="D157" s="8" t="s">
        <v>306</v>
      </c>
      <c r="E157" s="8" t="s">
        <v>237</v>
      </c>
      <c r="F157" s="8" t="s">
        <v>295</v>
      </c>
    </row>
    <row r="158" customFormat="false" ht="15" hidden="false" customHeight="true" outlineLevel="0" collapsed="false">
      <c r="A158" s="8" t="n">
        <v>5</v>
      </c>
      <c r="B158" s="8" t="s">
        <v>263</v>
      </c>
      <c r="C158" s="8" t="s">
        <v>235</v>
      </c>
      <c r="D158" s="8" t="s">
        <v>307</v>
      </c>
      <c r="E158" s="8" t="s">
        <v>237</v>
      </c>
      <c r="F158" s="8" t="s">
        <v>265</v>
      </c>
    </row>
    <row r="160" customFormat="false" ht="15" hidden="false" customHeight="true" outlineLevel="0" collapsed="false">
      <c r="A160" s="48" t="s">
        <v>195</v>
      </c>
      <c r="B160" s="49"/>
      <c r="C160" s="49"/>
      <c r="D160" s="48" t="s">
        <v>226</v>
      </c>
      <c r="E160" s="50" t="n">
        <v>15</v>
      </c>
      <c r="F160" s="49"/>
    </row>
    <row r="161" customFormat="false" ht="15" hidden="false" customHeight="true" outlineLevel="0" collapsed="false">
      <c r="A161" s="51" t="s">
        <v>227</v>
      </c>
      <c r="B161" s="52" t="n">
        <v>46432</v>
      </c>
      <c r="C161" s="51" t="s">
        <v>228</v>
      </c>
      <c r="D161" s="5" t="n">
        <f aca="false">COUNTIF(Dagschema!$F$2:$F$190,"Lange duurloop 15 km")</f>
        <v>3</v>
      </c>
    </row>
    <row r="162" customFormat="false" ht="15" hidden="false" customHeight="true" outlineLevel="0" collapsed="false">
      <c r="A162" s="53" t="s">
        <v>100</v>
      </c>
      <c r="B162" s="53" t="s">
        <v>229</v>
      </c>
      <c r="C162" s="53" t="s">
        <v>230</v>
      </c>
      <c r="D162" s="53" t="s">
        <v>231</v>
      </c>
      <c r="E162" s="53" t="s">
        <v>232</v>
      </c>
      <c r="F162" s="53" t="s">
        <v>233</v>
      </c>
    </row>
    <row r="163" customFormat="false" ht="15" hidden="false" customHeight="true" outlineLevel="0" collapsed="false">
      <c r="A163" s="8" t="n">
        <v>1</v>
      </c>
      <c r="B163" s="8" t="s">
        <v>234</v>
      </c>
      <c r="C163" s="8" t="s">
        <v>235</v>
      </c>
      <c r="D163" s="8" t="s">
        <v>236</v>
      </c>
      <c r="E163" s="8" t="s">
        <v>237</v>
      </c>
      <c r="F163" s="8" t="s">
        <v>243</v>
      </c>
    </row>
    <row r="164" customFormat="false" ht="15" hidden="false" customHeight="true" outlineLevel="0" collapsed="false">
      <c r="A164" s="8" t="n">
        <v>2</v>
      </c>
      <c r="B164" s="8" t="s">
        <v>244</v>
      </c>
      <c r="C164" s="8" t="s">
        <v>235</v>
      </c>
      <c r="D164" s="8" t="s">
        <v>308</v>
      </c>
      <c r="E164" s="8" t="s">
        <v>241</v>
      </c>
      <c r="F164" s="8" t="s">
        <v>246</v>
      </c>
    </row>
    <row r="166" customFormat="false" ht="15" hidden="false" customHeight="true" outlineLevel="0" collapsed="false">
      <c r="A166" s="48" t="s">
        <v>124</v>
      </c>
      <c r="B166" s="49"/>
      <c r="C166" s="49"/>
      <c r="D166" s="48" t="s">
        <v>226</v>
      </c>
      <c r="E166" s="50" t="n">
        <v>9.6</v>
      </c>
      <c r="F166" s="49"/>
    </row>
    <row r="167" customFormat="false" ht="15" hidden="false" customHeight="true" outlineLevel="0" collapsed="false">
      <c r="A167" s="51" t="s">
        <v>227</v>
      </c>
      <c r="B167" s="52" t="n">
        <v>46442</v>
      </c>
      <c r="C167" s="51" t="s">
        <v>228</v>
      </c>
      <c r="D167" s="5" t="n">
        <f aca="false">COUNTIF(Dagschema!$F$2:$F$190,"Interval 5×1 km")</f>
        <v>1</v>
      </c>
    </row>
    <row r="168" customFormat="false" ht="15" hidden="false" customHeight="true" outlineLevel="0" collapsed="false">
      <c r="A168" s="53" t="s">
        <v>100</v>
      </c>
      <c r="B168" s="53" t="s">
        <v>229</v>
      </c>
      <c r="C168" s="53" t="s">
        <v>230</v>
      </c>
      <c r="D168" s="53" t="s">
        <v>231</v>
      </c>
      <c r="E168" s="53" t="s">
        <v>232</v>
      </c>
      <c r="F168" s="53" t="s">
        <v>233</v>
      </c>
    </row>
    <row r="169" customFormat="false" ht="15" hidden="false" customHeight="true" outlineLevel="0" collapsed="false">
      <c r="A169" s="8" t="n">
        <v>1</v>
      </c>
      <c r="B169" s="8" t="s">
        <v>234</v>
      </c>
      <c r="C169" s="8" t="s">
        <v>235</v>
      </c>
      <c r="D169" s="8" t="s">
        <v>271</v>
      </c>
      <c r="E169" s="8" t="s">
        <v>241</v>
      </c>
      <c r="F169" s="8" t="s">
        <v>309</v>
      </c>
    </row>
    <row r="170" customFormat="false" ht="15" hidden="false" customHeight="true" outlineLevel="0" collapsed="false">
      <c r="A170" s="8" t="n">
        <v>2</v>
      </c>
      <c r="B170" s="8" t="s">
        <v>310</v>
      </c>
      <c r="C170" s="8" t="s">
        <v>251</v>
      </c>
      <c r="D170" s="8" t="s">
        <v>311</v>
      </c>
      <c r="E170" s="8" t="s">
        <v>149</v>
      </c>
      <c r="F170" s="8" t="s">
        <v>312</v>
      </c>
    </row>
    <row r="171" customFormat="false" ht="15" hidden="false" customHeight="true" outlineLevel="0" collapsed="false">
      <c r="A171" s="8" t="n">
        <v>3</v>
      </c>
      <c r="B171" s="8" t="s">
        <v>313</v>
      </c>
      <c r="C171" s="8" t="s">
        <v>235</v>
      </c>
      <c r="D171" s="8" t="s">
        <v>236</v>
      </c>
      <c r="E171" s="8" t="s">
        <v>314</v>
      </c>
      <c r="F171" s="8" t="s">
        <v>315</v>
      </c>
    </row>
    <row r="172" customFormat="false" ht="15" hidden="false" customHeight="true" outlineLevel="0" collapsed="false">
      <c r="A172" s="8" t="n">
        <v>4</v>
      </c>
      <c r="B172" s="8" t="s">
        <v>259</v>
      </c>
      <c r="C172" s="8" t="s">
        <v>255</v>
      </c>
      <c r="D172" s="8" t="s">
        <v>294</v>
      </c>
      <c r="E172" s="8" t="s">
        <v>237</v>
      </c>
      <c r="F172" s="8" t="s">
        <v>295</v>
      </c>
    </row>
    <row r="173" customFormat="false" ht="15" hidden="false" customHeight="true" outlineLevel="0" collapsed="false">
      <c r="A173" s="8" t="n">
        <v>5</v>
      </c>
      <c r="B173" s="8" t="s">
        <v>263</v>
      </c>
      <c r="C173" s="8" t="s">
        <v>235</v>
      </c>
      <c r="D173" s="8" t="s">
        <v>316</v>
      </c>
      <c r="E173" s="8" t="s">
        <v>237</v>
      </c>
      <c r="F173" s="8" t="s">
        <v>265</v>
      </c>
    </row>
    <row r="175" customFormat="false" ht="15" hidden="false" customHeight="true" outlineLevel="0" collapsed="false">
      <c r="A175" s="48" t="s">
        <v>125</v>
      </c>
      <c r="B175" s="49"/>
      <c r="C175" s="49"/>
      <c r="D175" s="48" t="s">
        <v>226</v>
      </c>
      <c r="E175" s="50" t="n">
        <v>7</v>
      </c>
      <c r="F175" s="49"/>
    </row>
    <row r="176" customFormat="false" ht="15" hidden="false" customHeight="true" outlineLevel="0" collapsed="false">
      <c r="A176" s="51" t="s">
        <v>227</v>
      </c>
      <c r="B176" s="52" t="n">
        <v>46449</v>
      </c>
      <c r="C176" s="51" t="s">
        <v>228</v>
      </c>
      <c r="D176" s="5" t="n">
        <f aca="false">COUNTIF(Dagschema!$F$2:$F$190,"Tempo 20' doorlopend")</f>
        <v>1</v>
      </c>
    </row>
    <row r="177" customFormat="false" ht="15" hidden="false" customHeight="true" outlineLevel="0" collapsed="false">
      <c r="A177" s="53" t="s">
        <v>100</v>
      </c>
      <c r="B177" s="53" t="s">
        <v>229</v>
      </c>
      <c r="C177" s="53" t="s">
        <v>230</v>
      </c>
      <c r="D177" s="53" t="s">
        <v>231</v>
      </c>
      <c r="E177" s="53" t="s">
        <v>232</v>
      </c>
      <c r="F177" s="53" t="s">
        <v>233</v>
      </c>
    </row>
    <row r="178" customFormat="false" ht="15" hidden="false" customHeight="true" outlineLevel="0" collapsed="false">
      <c r="A178" s="8" t="n">
        <v>1</v>
      </c>
      <c r="B178" s="8" t="s">
        <v>234</v>
      </c>
      <c r="C178" s="8" t="s">
        <v>235</v>
      </c>
      <c r="D178" s="8" t="s">
        <v>271</v>
      </c>
      <c r="E178" s="8" t="s">
        <v>241</v>
      </c>
      <c r="F178" s="8" t="s">
        <v>287</v>
      </c>
    </row>
    <row r="179" customFormat="false" ht="15" hidden="false" customHeight="true" outlineLevel="0" collapsed="false">
      <c r="A179" s="8" t="n">
        <v>2</v>
      </c>
      <c r="B179" s="8" t="s">
        <v>291</v>
      </c>
      <c r="C179" s="8" t="s">
        <v>255</v>
      </c>
      <c r="D179" s="8" t="s">
        <v>317</v>
      </c>
      <c r="E179" s="8" t="s">
        <v>277</v>
      </c>
      <c r="F179" s="8" t="s">
        <v>318</v>
      </c>
    </row>
    <row r="180" customFormat="false" ht="15" hidden="false" customHeight="true" outlineLevel="0" collapsed="false">
      <c r="A180" s="8" t="n">
        <v>3</v>
      </c>
      <c r="B180" s="8" t="s">
        <v>263</v>
      </c>
      <c r="C180" s="8" t="s">
        <v>235</v>
      </c>
      <c r="D180" s="8" t="s">
        <v>296</v>
      </c>
      <c r="E180" s="8" t="s">
        <v>237</v>
      </c>
      <c r="F180" s="8" t="s">
        <v>265</v>
      </c>
    </row>
    <row r="182" customFormat="false" ht="15" hidden="false" customHeight="true" outlineLevel="0" collapsed="false">
      <c r="A182" s="48" t="s">
        <v>126</v>
      </c>
      <c r="B182" s="49"/>
      <c r="C182" s="49"/>
      <c r="D182" s="48" t="s">
        <v>226</v>
      </c>
      <c r="E182" s="50" t="n">
        <v>10.9</v>
      </c>
      <c r="F182" s="49"/>
    </row>
    <row r="183" customFormat="false" ht="15" hidden="false" customHeight="true" outlineLevel="0" collapsed="false">
      <c r="A183" s="51" t="s">
        <v>227</v>
      </c>
      <c r="B183" s="52" t="n">
        <v>46456</v>
      </c>
      <c r="C183" s="51" t="s">
        <v>228</v>
      </c>
      <c r="D183" s="5" t="n">
        <f aca="false">COUNTIF(Dagschema!$F$2:$F$190,"Interval 6×1 km")</f>
        <v>1</v>
      </c>
    </row>
    <row r="184" customFormat="false" ht="15" hidden="false" customHeight="true" outlineLevel="0" collapsed="false">
      <c r="A184" s="53" t="s">
        <v>100</v>
      </c>
      <c r="B184" s="53" t="s">
        <v>229</v>
      </c>
      <c r="C184" s="53" t="s">
        <v>230</v>
      </c>
      <c r="D184" s="53" t="s">
        <v>231</v>
      </c>
      <c r="E184" s="53" t="s">
        <v>232</v>
      </c>
      <c r="F184" s="53" t="s">
        <v>233</v>
      </c>
    </row>
    <row r="185" customFormat="false" ht="15" hidden="false" customHeight="true" outlineLevel="0" collapsed="false">
      <c r="A185" s="8" t="n">
        <v>1</v>
      </c>
      <c r="B185" s="8" t="s">
        <v>234</v>
      </c>
      <c r="C185" s="8" t="s">
        <v>235</v>
      </c>
      <c r="D185" s="8" t="s">
        <v>271</v>
      </c>
      <c r="E185" s="8" t="s">
        <v>241</v>
      </c>
      <c r="F185" s="8" t="s">
        <v>309</v>
      </c>
    </row>
    <row r="186" customFormat="false" ht="15" hidden="false" customHeight="true" outlineLevel="0" collapsed="false">
      <c r="A186" s="8" t="n">
        <v>2</v>
      </c>
      <c r="B186" s="8" t="s">
        <v>250</v>
      </c>
      <c r="C186" s="8" t="s">
        <v>251</v>
      </c>
      <c r="D186" s="8" t="s">
        <v>252</v>
      </c>
      <c r="E186" s="8" t="s">
        <v>149</v>
      </c>
      <c r="F186" s="8" t="s">
        <v>319</v>
      </c>
    </row>
    <row r="187" customFormat="false" ht="15" hidden="false" customHeight="true" outlineLevel="0" collapsed="false">
      <c r="A187" s="8" t="n">
        <v>3</v>
      </c>
      <c r="B187" s="8" t="s">
        <v>313</v>
      </c>
      <c r="C187" s="8" t="s">
        <v>235</v>
      </c>
      <c r="D187" s="8" t="s">
        <v>236</v>
      </c>
      <c r="E187" s="8" t="s">
        <v>314</v>
      </c>
      <c r="F187" s="8" t="s">
        <v>320</v>
      </c>
    </row>
    <row r="188" customFormat="false" ht="15" hidden="false" customHeight="true" outlineLevel="0" collapsed="false">
      <c r="A188" s="8" t="n">
        <v>4</v>
      </c>
      <c r="B188" s="8" t="s">
        <v>259</v>
      </c>
      <c r="C188" s="8" t="s">
        <v>255</v>
      </c>
      <c r="D188" s="8" t="s">
        <v>294</v>
      </c>
      <c r="E188" s="8" t="s">
        <v>237</v>
      </c>
      <c r="F188" s="8" t="s">
        <v>295</v>
      </c>
    </row>
    <row r="189" customFormat="false" ht="15" hidden="false" customHeight="true" outlineLevel="0" collapsed="false">
      <c r="A189" s="8" t="n">
        <v>5</v>
      </c>
      <c r="B189" s="8" t="s">
        <v>263</v>
      </c>
      <c r="C189" s="8" t="s">
        <v>235</v>
      </c>
      <c r="D189" s="8" t="s">
        <v>316</v>
      </c>
      <c r="E189" s="8" t="s">
        <v>237</v>
      </c>
      <c r="F189" s="8" t="s">
        <v>265</v>
      </c>
    </row>
    <row r="191" customFormat="false" ht="15" hidden="false" customHeight="true" outlineLevel="0" collapsed="false">
      <c r="A191" s="48" t="s">
        <v>201</v>
      </c>
      <c r="B191" s="49"/>
      <c r="C191" s="49"/>
      <c r="D191" s="48" t="s">
        <v>226</v>
      </c>
      <c r="E191" s="50" t="n">
        <v>16</v>
      </c>
      <c r="F191" s="49"/>
    </row>
    <row r="192" customFormat="false" ht="15" hidden="false" customHeight="true" outlineLevel="0" collapsed="false">
      <c r="A192" s="51" t="s">
        <v>227</v>
      </c>
      <c r="B192" s="52" t="n">
        <v>46460</v>
      </c>
      <c r="C192" s="51" t="s">
        <v>228</v>
      </c>
      <c r="D192" s="5" t="n">
        <f aca="false">COUNTIF(Dagschema!$F$2:$F$190,"Lang 16 km (3 km wedstrijdtempo)")</f>
        <v>1</v>
      </c>
    </row>
    <row r="193" customFormat="false" ht="15" hidden="false" customHeight="true" outlineLevel="0" collapsed="false">
      <c r="A193" s="53" t="s">
        <v>100</v>
      </c>
      <c r="B193" s="53" t="s">
        <v>229</v>
      </c>
      <c r="C193" s="53" t="s">
        <v>230</v>
      </c>
      <c r="D193" s="53" t="s">
        <v>231</v>
      </c>
      <c r="E193" s="53" t="s">
        <v>232</v>
      </c>
      <c r="F193" s="53" t="s">
        <v>233</v>
      </c>
    </row>
    <row r="194" customFormat="false" ht="15" hidden="false" customHeight="true" outlineLevel="0" collapsed="false">
      <c r="A194" s="8" t="n">
        <v>1</v>
      </c>
      <c r="B194" s="8" t="s">
        <v>234</v>
      </c>
      <c r="C194" s="8" t="s">
        <v>235</v>
      </c>
      <c r="D194" s="8" t="s">
        <v>236</v>
      </c>
      <c r="E194" s="8" t="s">
        <v>237</v>
      </c>
      <c r="F194" s="8" t="s">
        <v>243</v>
      </c>
    </row>
    <row r="195" customFormat="false" ht="15" hidden="false" customHeight="true" outlineLevel="0" collapsed="false">
      <c r="A195" s="8" t="n">
        <v>2</v>
      </c>
      <c r="B195" s="8" t="s">
        <v>244</v>
      </c>
      <c r="C195" s="8" t="s">
        <v>235</v>
      </c>
      <c r="D195" s="8" t="s">
        <v>321</v>
      </c>
      <c r="E195" s="8" t="s">
        <v>241</v>
      </c>
      <c r="F195" s="8" t="s">
        <v>249</v>
      </c>
    </row>
    <row r="196" customFormat="false" ht="15" hidden="false" customHeight="true" outlineLevel="0" collapsed="false">
      <c r="A196" s="8" t="n">
        <v>3</v>
      </c>
      <c r="B196" s="8" t="s">
        <v>322</v>
      </c>
      <c r="C196" s="8" t="s">
        <v>235</v>
      </c>
      <c r="D196" s="8" t="s">
        <v>240</v>
      </c>
      <c r="E196" s="8" t="s">
        <v>277</v>
      </c>
      <c r="F196" s="8" t="s">
        <v>323</v>
      </c>
    </row>
    <row r="197" customFormat="false" ht="15" hidden="false" customHeight="true" outlineLevel="0" collapsed="false">
      <c r="A197" s="8" t="n">
        <v>4</v>
      </c>
      <c r="B197" s="8" t="s">
        <v>263</v>
      </c>
      <c r="C197" s="8" t="s">
        <v>235</v>
      </c>
      <c r="D197" s="8" t="s">
        <v>264</v>
      </c>
      <c r="E197" s="8" t="s">
        <v>237</v>
      </c>
      <c r="F197" s="8" t="s">
        <v>265</v>
      </c>
    </row>
    <row r="199" customFormat="false" ht="15" hidden="false" customHeight="true" outlineLevel="0" collapsed="false">
      <c r="A199" s="48" t="s">
        <v>127</v>
      </c>
      <c r="B199" s="49"/>
      <c r="C199" s="49"/>
      <c r="D199" s="48" t="s">
        <v>226</v>
      </c>
      <c r="E199" s="50" t="n">
        <v>11</v>
      </c>
      <c r="F199" s="49"/>
    </row>
    <row r="200" customFormat="false" ht="15" hidden="false" customHeight="true" outlineLevel="0" collapsed="false">
      <c r="A200" s="51" t="s">
        <v>227</v>
      </c>
      <c r="B200" s="52" t="n">
        <v>46463</v>
      </c>
      <c r="C200" s="51" t="s">
        <v>228</v>
      </c>
      <c r="D200" s="5" t="n">
        <f aca="false">COUNTIF(Dagschema!$F$2:$F$190,"Interval 4×1600 m")</f>
        <v>1</v>
      </c>
    </row>
    <row r="201" customFormat="false" ht="15" hidden="false" customHeight="true" outlineLevel="0" collapsed="false">
      <c r="A201" s="53" t="s">
        <v>100</v>
      </c>
      <c r="B201" s="53" t="s">
        <v>229</v>
      </c>
      <c r="C201" s="53" t="s">
        <v>230</v>
      </c>
      <c r="D201" s="53" t="s">
        <v>231</v>
      </c>
      <c r="E201" s="53" t="s">
        <v>232</v>
      </c>
      <c r="F201" s="53" t="s">
        <v>233</v>
      </c>
    </row>
    <row r="202" customFormat="false" ht="15" hidden="false" customHeight="true" outlineLevel="0" collapsed="false">
      <c r="A202" s="8" t="n">
        <v>1</v>
      </c>
      <c r="B202" s="8" t="s">
        <v>234</v>
      </c>
      <c r="C202" s="8" t="s">
        <v>235</v>
      </c>
      <c r="D202" s="8" t="s">
        <v>271</v>
      </c>
      <c r="E202" s="8" t="s">
        <v>241</v>
      </c>
      <c r="F202" s="8" t="s">
        <v>309</v>
      </c>
    </row>
    <row r="203" customFormat="false" ht="15" hidden="false" customHeight="true" outlineLevel="0" collapsed="false">
      <c r="A203" s="8" t="n">
        <v>2</v>
      </c>
      <c r="B203" s="8" t="s">
        <v>324</v>
      </c>
      <c r="C203" s="8" t="s">
        <v>251</v>
      </c>
      <c r="D203" s="8" t="s">
        <v>325</v>
      </c>
      <c r="E203" s="8" t="s">
        <v>149</v>
      </c>
      <c r="F203" s="8" t="s">
        <v>326</v>
      </c>
    </row>
    <row r="204" customFormat="false" ht="15" hidden="false" customHeight="true" outlineLevel="0" collapsed="false">
      <c r="A204" s="8" t="n">
        <v>3</v>
      </c>
      <c r="B204" s="8" t="s">
        <v>313</v>
      </c>
      <c r="C204" s="8" t="s">
        <v>235</v>
      </c>
      <c r="D204" s="8" t="s">
        <v>327</v>
      </c>
      <c r="E204" s="8" t="s">
        <v>328</v>
      </c>
      <c r="F204" s="8" t="s">
        <v>329</v>
      </c>
    </row>
    <row r="205" customFormat="false" ht="15" hidden="false" customHeight="true" outlineLevel="0" collapsed="false">
      <c r="A205" s="8" t="n">
        <v>4</v>
      </c>
      <c r="B205" s="8" t="s">
        <v>259</v>
      </c>
      <c r="C205" s="8" t="s">
        <v>255</v>
      </c>
      <c r="D205" s="8" t="s">
        <v>330</v>
      </c>
      <c r="E205" s="8" t="s">
        <v>237</v>
      </c>
      <c r="F205" s="8" t="s">
        <v>295</v>
      </c>
    </row>
    <row r="206" customFormat="false" ht="15" hidden="false" customHeight="true" outlineLevel="0" collapsed="false">
      <c r="A206" s="8" t="n">
        <v>5</v>
      </c>
      <c r="B206" s="8" t="s">
        <v>263</v>
      </c>
      <c r="C206" s="8" t="s">
        <v>235</v>
      </c>
      <c r="D206" s="8" t="s">
        <v>316</v>
      </c>
      <c r="E206" s="8" t="s">
        <v>237</v>
      </c>
      <c r="F206" s="8" t="s">
        <v>265</v>
      </c>
    </row>
    <row r="208" customFormat="false" ht="15" hidden="false" customHeight="true" outlineLevel="0" collapsed="false">
      <c r="A208" s="48" t="s">
        <v>204</v>
      </c>
      <c r="B208" s="49"/>
      <c r="C208" s="49"/>
      <c r="D208" s="48" t="s">
        <v>226</v>
      </c>
      <c r="E208" s="50" t="n">
        <v>17</v>
      </c>
      <c r="F208" s="49"/>
    </row>
    <row r="209" customFormat="false" ht="15" hidden="false" customHeight="true" outlineLevel="0" collapsed="false">
      <c r="A209" s="51" t="s">
        <v>227</v>
      </c>
      <c r="B209" s="52" t="n">
        <v>46467</v>
      </c>
      <c r="C209" s="51" t="s">
        <v>228</v>
      </c>
      <c r="D209" s="5" t="n">
        <f aca="false">COUNTIF(Dagschema!$F$2:$F$190,"Lang 17 km (4 km wedstrijdtempo)")</f>
        <v>1</v>
      </c>
    </row>
    <row r="210" customFormat="false" ht="15" hidden="false" customHeight="true" outlineLevel="0" collapsed="false">
      <c r="A210" s="53" t="s">
        <v>100</v>
      </c>
      <c r="B210" s="53" t="s">
        <v>229</v>
      </c>
      <c r="C210" s="53" t="s">
        <v>230</v>
      </c>
      <c r="D210" s="53" t="s">
        <v>231</v>
      </c>
      <c r="E210" s="53" t="s">
        <v>232</v>
      </c>
      <c r="F210" s="53" t="s">
        <v>233</v>
      </c>
    </row>
    <row r="211" customFormat="false" ht="15" hidden="false" customHeight="true" outlineLevel="0" collapsed="false">
      <c r="A211" s="8" t="n">
        <v>1</v>
      </c>
      <c r="B211" s="8" t="s">
        <v>234</v>
      </c>
      <c r="C211" s="8" t="s">
        <v>235</v>
      </c>
      <c r="D211" s="8" t="s">
        <v>236</v>
      </c>
      <c r="E211" s="8" t="s">
        <v>237</v>
      </c>
      <c r="F211" s="8" t="s">
        <v>243</v>
      </c>
    </row>
    <row r="212" customFormat="false" ht="15" hidden="false" customHeight="true" outlineLevel="0" collapsed="false">
      <c r="A212" s="8" t="n">
        <v>2</v>
      </c>
      <c r="B212" s="8" t="s">
        <v>244</v>
      </c>
      <c r="C212" s="8" t="s">
        <v>235</v>
      </c>
      <c r="D212" s="8" t="s">
        <v>321</v>
      </c>
      <c r="E212" s="8" t="s">
        <v>241</v>
      </c>
      <c r="F212" s="8" t="s">
        <v>249</v>
      </c>
    </row>
    <row r="213" customFormat="false" ht="15" hidden="false" customHeight="true" outlineLevel="0" collapsed="false">
      <c r="A213" s="8" t="n">
        <v>3</v>
      </c>
      <c r="B213" s="8" t="s">
        <v>322</v>
      </c>
      <c r="C213" s="8" t="s">
        <v>235</v>
      </c>
      <c r="D213" s="8" t="s">
        <v>267</v>
      </c>
      <c r="E213" s="8" t="s">
        <v>277</v>
      </c>
      <c r="F213" s="8" t="s">
        <v>323</v>
      </c>
    </row>
    <row r="214" customFormat="false" ht="15" hidden="false" customHeight="true" outlineLevel="0" collapsed="false">
      <c r="A214" s="8" t="n">
        <v>4</v>
      </c>
      <c r="B214" s="8" t="s">
        <v>263</v>
      </c>
      <c r="C214" s="8" t="s">
        <v>235</v>
      </c>
      <c r="D214" s="8" t="s">
        <v>264</v>
      </c>
      <c r="E214" s="8" t="s">
        <v>237</v>
      </c>
      <c r="F214" s="8" t="s">
        <v>265</v>
      </c>
    </row>
    <row r="216" customFormat="false" ht="15" hidden="false" customHeight="true" outlineLevel="0" collapsed="false">
      <c r="A216" s="48" t="s">
        <v>206</v>
      </c>
      <c r="B216" s="49"/>
      <c r="C216" s="49"/>
      <c r="D216" s="48" t="s">
        <v>226</v>
      </c>
      <c r="E216" s="50" t="n">
        <v>8</v>
      </c>
      <c r="F216" s="49"/>
    </row>
    <row r="217" customFormat="false" ht="15" hidden="false" customHeight="true" outlineLevel="0" collapsed="false">
      <c r="A217" s="51" t="s">
        <v>227</v>
      </c>
      <c r="B217" s="52" t="n">
        <v>46468</v>
      </c>
      <c r="C217" s="51" t="s">
        <v>228</v>
      </c>
      <c r="D217" s="5" t="n">
        <f aca="false">COUNTIF(Dagschema!$F$2:$F$190,"Rustig 8 km")</f>
        <v>1</v>
      </c>
    </row>
    <row r="218" customFormat="false" ht="15" hidden="false" customHeight="true" outlineLevel="0" collapsed="false">
      <c r="A218" s="53" t="s">
        <v>100</v>
      </c>
      <c r="B218" s="53" t="s">
        <v>229</v>
      </c>
      <c r="C218" s="53" t="s">
        <v>230</v>
      </c>
      <c r="D218" s="53" t="s">
        <v>231</v>
      </c>
      <c r="E218" s="53" t="s">
        <v>232</v>
      </c>
      <c r="F218" s="53" t="s">
        <v>233</v>
      </c>
    </row>
    <row r="219" customFormat="false" ht="15" hidden="false" customHeight="true" outlineLevel="0" collapsed="false">
      <c r="A219" s="8" t="n">
        <v>1</v>
      </c>
      <c r="B219" s="8" t="s">
        <v>234</v>
      </c>
      <c r="C219" s="8" t="s">
        <v>235</v>
      </c>
      <c r="D219" s="8" t="s">
        <v>236</v>
      </c>
      <c r="E219" s="8" t="s">
        <v>237</v>
      </c>
      <c r="F219" s="8" t="s">
        <v>238</v>
      </c>
    </row>
    <row r="220" customFormat="false" ht="15" hidden="false" customHeight="true" outlineLevel="0" collapsed="false">
      <c r="A220" s="8" t="n">
        <v>2</v>
      </c>
      <c r="B220" s="8" t="s">
        <v>239</v>
      </c>
      <c r="C220" s="8" t="s">
        <v>235</v>
      </c>
      <c r="D220" s="8" t="s">
        <v>266</v>
      </c>
      <c r="E220" s="8" t="s">
        <v>241</v>
      </c>
      <c r="F220" s="8" t="s">
        <v>242</v>
      </c>
    </row>
    <row r="222" customFormat="false" ht="15" hidden="false" customHeight="true" outlineLevel="0" collapsed="false">
      <c r="A222" s="48" t="s">
        <v>128</v>
      </c>
      <c r="B222" s="49"/>
      <c r="C222" s="49"/>
      <c r="D222" s="48" t="s">
        <v>226</v>
      </c>
      <c r="E222" s="50" t="n">
        <v>10.4</v>
      </c>
      <c r="F222" s="49"/>
    </row>
    <row r="223" customFormat="false" ht="15" hidden="false" customHeight="true" outlineLevel="0" collapsed="false">
      <c r="A223" s="51" t="s">
        <v>227</v>
      </c>
      <c r="B223" s="52" t="n">
        <v>46470</v>
      </c>
      <c r="C223" s="51" t="s">
        <v>228</v>
      </c>
      <c r="D223" s="5" t="n">
        <f aca="false">COUNTIF(Dagschema!$F$2:$F$190,"Interval 3×2 km")</f>
        <v>1</v>
      </c>
    </row>
    <row r="224" customFormat="false" ht="15" hidden="false" customHeight="true" outlineLevel="0" collapsed="false">
      <c r="A224" s="53" t="s">
        <v>100</v>
      </c>
      <c r="B224" s="53" t="s">
        <v>229</v>
      </c>
      <c r="C224" s="53" t="s">
        <v>230</v>
      </c>
      <c r="D224" s="53" t="s">
        <v>231</v>
      </c>
      <c r="E224" s="53" t="s">
        <v>232</v>
      </c>
      <c r="F224" s="53" t="s">
        <v>233</v>
      </c>
    </row>
    <row r="225" customFormat="false" ht="15" hidden="false" customHeight="true" outlineLevel="0" collapsed="false">
      <c r="A225" s="8" t="n">
        <v>1</v>
      </c>
      <c r="B225" s="8" t="s">
        <v>234</v>
      </c>
      <c r="C225" s="8" t="s">
        <v>235</v>
      </c>
      <c r="D225" s="8" t="s">
        <v>271</v>
      </c>
      <c r="E225" s="8" t="s">
        <v>241</v>
      </c>
      <c r="F225" s="8" t="s">
        <v>309</v>
      </c>
    </row>
    <row r="226" customFormat="false" ht="15" hidden="false" customHeight="true" outlineLevel="0" collapsed="false">
      <c r="A226" s="8" t="n">
        <v>2</v>
      </c>
      <c r="B226" s="8" t="s">
        <v>288</v>
      </c>
      <c r="C226" s="8" t="s">
        <v>251</v>
      </c>
      <c r="D226" s="8" t="s">
        <v>289</v>
      </c>
      <c r="E226" s="8" t="s">
        <v>149</v>
      </c>
      <c r="F226" s="8" t="s">
        <v>331</v>
      </c>
    </row>
    <row r="227" customFormat="false" ht="15" hidden="false" customHeight="true" outlineLevel="0" collapsed="false">
      <c r="A227" s="8" t="n">
        <v>3</v>
      </c>
      <c r="B227" s="8" t="s">
        <v>313</v>
      </c>
      <c r="C227" s="8" t="s">
        <v>235</v>
      </c>
      <c r="D227" s="8" t="s">
        <v>271</v>
      </c>
      <c r="E227" s="8" t="s">
        <v>277</v>
      </c>
      <c r="F227" s="8" t="s">
        <v>332</v>
      </c>
    </row>
    <row r="228" customFormat="false" ht="15" hidden="false" customHeight="true" outlineLevel="0" collapsed="false">
      <c r="A228" s="8" t="n">
        <v>4</v>
      </c>
      <c r="B228" s="8" t="s">
        <v>259</v>
      </c>
      <c r="C228" s="8" t="s">
        <v>255</v>
      </c>
      <c r="D228" s="8" t="s">
        <v>306</v>
      </c>
      <c r="E228" s="8" t="s">
        <v>237</v>
      </c>
      <c r="F228" s="8" t="s">
        <v>295</v>
      </c>
    </row>
    <row r="229" customFormat="false" ht="15" hidden="false" customHeight="true" outlineLevel="0" collapsed="false">
      <c r="A229" s="8" t="n">
        <v>5</v>
      </c>
      <c r="B229" s="8" t="s">
        <v>263</v>
      </c>
      <c r="C229" s="8" t="s">
        <v>235</v>
      </c>
      <c r="D229" s="8" t="s">
        <v>316</v>
      </c>
      <c r="E229" s="8" t="s">
        <v>237</v>
      </c>
      <c r="F229" s="8" t="s">
        <v>265</v>
      </c>
    </row>
    <row r="231" customFormat="false" ht="15" hidden="false" customHeight="true" outlineLevel="0" collapsed="false">
      <c r="A231" s="48" t="s">
        <v>209</v>
      </c>
      <c r="B231" s="49"/>
      <c r="C231" s="49"/>
      <c r="D231" s="48" t="s">
        <v>226</v>
      </c>
      <c r="E231" s="50" t="n">
        <v>18</v>
      </c>
      <c r="F231" s="49"/>
    </row>
    <row r="232" customFormat="false" ht="15" hidden="false" customHeight="true" outlineLevel="0" collapsed="false">
      <c r="A232" s="51" t="s">
        <v>227</v>
      </c>
      <c r="B232" s="52" t="n">
        <v>46474</v>
      </c>
      <c r="C232" s="51" t="s">
        <v>228</v>
      </c>
      <c r="D232" s="5" t="n">
        <f aca="false">COUNTIF(Dagschema!$F$2:$F$190,"Lange duurloop 18 km")</f>
        <v>1</v>
      </c>
    </row>
    <row r="233" customFormat="false" ht="15" hidden="false" customHeight="true" outlineLevel="0" collapsed="false">
      <c r="A233" s="53" t="s">
        <v>100</v>
      </c>
      <c r="B233" s="53" t="s">
        <v>229</v>
      </c>
      <c r="C233" s="53" t="s">
        <v>230</v>
      </c>
      <c r="D233" s="53" t="s">
        <v>231</v>
      </c>
      <c r="E233" s="53" t="s">
        <v>232</v>
      </c>
      <c r="F233" s="53" t="s">
        <v>233</v>
      </c>
    </row>
    <row r="234" customFormat="false" ht="15" hidden="false" customHeight="true" outlineLevel="0" collapsed="false">
      <c r="A234" s="8" t="n">
        <v>1</v>
      </c>
      <c r="B234" s="8" t="s">
        <v>234</v>
      </c>
      <c r="C234" s="8" t="s">
        <v>235</v>
      </c>
      <c r="D234" s="8" t="s">
        <v>236</v>
      </c>
      <c r="E234" s="8" t="s">
        <v>237</v>
      </c>
      <c r="F234" s="8" t="s">
        <v>243</v>
      </c>
    </row>
    <row r="235" customFormat="false" ht="15" hidden="false" customHeight="true" outlineLevel="0" collapsed="false">
      <c r="A235" s="8" t="n">
        <v>2</v>
      </c>
      <c r="B235" s="8" t="s">
        <v>244</v>
      </c>
      <c r="C235" s="8" t="s">
        <v>235</v>
      </c>
      <c r="D235" s="8" t="s">
        <v>333</v>
      </c>
      <c r="E235" s="8" t="s">
        <v>241</v>
      </c>
      <c r="F235" s="8" t="s">
        <v>246</v>
      </c>
    </row>
    <row r="237" customFormat="false" ht="15" hidden="false" customHeight="true" outlineLevel="0" collapsed="false">
      <c r="A237" s="48" t="s">
        <v>211</v>
      </c>
      <c r="B237" s="49"/>
      <c r="C237" s="49"/>
      <c r="D237" s="48" t="s">
        <v>226</v>
      </c>
      <c r="E237" s="50" t="n">
        <v>13.5</v>
      </c>
      <c r="F237" s="49"/>
    </row>
    <row r="238" customFormat="false" ht="15" hidden="false" customHeight="true" outlineLevel="0" collapsed="false">
      <c r="A238" s="51" t="s">
        <v>227</v>
      </c>
      <c r="B238" s="52" t="n">
        <v>46481</v>
      </c>
      <c r="C238" s="51" t="s">
        <v>228</v>
      </c>
      <c r="D238" s="5" t="n">
        <f aca="false">COUNTIF(Dagschema!$F$2:$F$190,"Testloop 10 km")</f>
        <v>1</v>
      </c>
    </row>
    <row r="239" customFormat="false" ht="15" hidden="false" customHeight="true" outlineLevel="0" collapsed="false">
      <c r="A239" s="53" t="s">
        <v>100</v>
      </c>
      <c r="B239" s="53" t="s">
        <v>229</v>
      </c>
      <c r="C239" s="53" t="s">
        <v>230</v>
      </c>
      <c r="D239" s="53" t="s">
        <v>231</v>
      </c>
      <c r="E239" s="53" t="s">
        <v>232</v>
      </c>
      <c r="F239" s="53" t="s">
        <v>233</v>
      </c>
    </row>
    <row r="240" customFormat="false" ht="15" hidden="false" customHeight="true" outlineLevel="0" collapsed="false">
      <c r="A240" s="8" t="n">
        <v>1</v>
      </c>
      <c r="B240" s="8" t="s">
        <v>234</v>
      </c>
      <c r="C240" s="8" t="s">
        <v>235</v>
      </c>
      <c r="D240" s="8" t="s">
        <v>271</v>
      </c>
      <c r="E240" s="8" t="s">
        <v>241</v>
      </c>
      <c r="F240" s="8" t="s">
        <v>334</v>
      </c>
    </row>
    <row r="241" customFormat="false" ht="26.25" hidden="false" customHeight="true" outlineLevel="0" collapsed="false">
      <c r="A241" s="8" t="n">
        <v>2</v>
      </c>
      <c r="B241" s="8" t="s">
        <v>335</v>
      </c>
      <c r="C241" s="8" t="s">
        <v>235</v>
      </c>
      <c r="D241" s="8" t="s">
        <v>281</v>
      </c>
      <c r="E241" s="8" t="s">
        <v>328</v>
      </c>
      <c r="F241" s="8" t="s">
        <v>336</v>
      </c>
    </row>
    <row r="242" customFormat="false" ht="15" hidden="false" customHeight="true" outlineLevel="0" collapsed="false">
      <c r="A242" s="8" t="n">
        <v>3</v>
      </c>
      <c r="B242" s="8" t="s">
        <v>263</v>
      </c>
      <c r="C242" s="8" t="s">
        <v>235</v>
      </c>
      <c r="D242" s="8" t="s">
        <v>316</v>
      </c>
      <c r="E242" s="8" t="s">
        <v>261</v>
      </c>
      <c r="F242" s="8" t="s">
        <v>265</v>
      </c>
    </row>
    <row r="244" customFormat="false" ht="15" hidden="false" customHeight="true" outlineLevel="0" collapsed="false">
      <c r="A244" s="48" t="s">
        <v>129</v>
      </c>
      <c r="B244" s="49"/>
      <c r="C244" s="49"/>
      <c r="D244" s="48" t="s">
        <v>226</v>
      </c>
      <c r="E244" s="50" t="n">
        <v>11.4</v>
      </c>
      <c r="F244" s="49"/>
    </row>
    <row r="245" customFormat="false" ht="15" hidden="false" customHeight="true" outlineLevel="0" collapsed="false">
      <c r="A245" s="51" t="s">
        <v>227</v>
      </c>
      <c r="B245" s="52" t="n">
        <v>46484</v>
      </c>
      <c r="C245" s="51" t="s">
        <v>228</v>
      </c>
      <c r="D245" s="5" t="n">
        <f aca="false">COUNTIF(Dagschema!$F$2:$F$190,"Wedstrijdtempo 2×4 km")</f>
        <v>1</v>
      </c>
    </row>
    <row r="246" customFormat="false" ht="15" hidden="false" customHeight="true" outlineLevel="0" collapsed="false">
      <c r="A246" s="53" t="s">
        <v>100</v>
      </c>
      <c r="B246" s="53" t="s">
        <v>229</v>
      </c>
      <c r="C246" s="53" t="s">
        <v>230</v>
      </c>
      <c r="D246" s="53" t="s">
        <v>231</v>
      </c>
      <c r="E246" s="53" t="s">
        <v>232</v>
      </c>
      <c r="F246" s="53" t="s">
        <v>233</v>
      </c>
    </row>
    <row r="247" customFormat="false" ht="15" hidden="false" customHeight="true" outlineLevel="0" collapsed="false">
      <c r="A247" s="8" t="n">
        <v>1</v>
      </c>
      <c r="B247" s="8" t="s">
        <v>234</v>
      </c>
      <c r="C247" s="8" t="s">
        <v>235</v>
      </c>
      <c r="D247" s="8" t="s">
        <v>271</v>
      </c>
      <c r="E247" s="8" t="s">
        <v>241</v>
      </c>
      <c r="F247" s="8" t="s">
        <v>309</v>
      </c>
    </row>
    <row r="248" customFormat="false" ht="15" hidden="false" customHeight="true" outlineLevel="0" collapsed="false">
      <c r="A248" s="8" t="n">
        <v>2</v>
      </c>
      <c r="B248" s="8" t="s">
        <v>301</v>
      </c>
      <c r="C248" s="8" t="s">
        <v>251</v>
      </c>
      <c r="D248" s="8" t="s">
        <v>302</v>
      </c>
      <c r="E248" s="8" t="s">
        <v>149</v>
      </c>
      <c r="F248" s="8" t="s">
        <v>337</v>
      </c>
    </row>
    <row r="249" customFormat="false" ht="15" hidden="false" customHeight="true" outlineLevel="0" collapsed="false">
      <c r="A249" s="8" t="n">
        <v>3</v>
      </c>
      <c r="B249" s="8" t="s">
        <v>313</v>
      </c>
      <c r="C249" s="8" t="s">
        <v>235</v>
      </c>
      <c r="D249" s="8" t="s">
        <v>267</v>
      </c>
      <c r="E249" s="8" t="s">
        <v>277</v>
      </c>
      <c r="F249" s="8" t="s">
        <v>338</v>
      </c>
    </row>
    <row r="250" customFormat="false" ht="15" hidden="false" customHeight="true" outlineLevel="0" collapsed="false">
      <c r="A250" s="8" t="n">
        <v>4</v>
      </c>
      <c r="B250" s="8" t="s">
        <v>259</v>
      </c>
      <c r="C250" s="8" t="s">
        <v>255</v>
      </c>
      <c r="D250" s="8" t="s">
        <v>306</v>
      </c>
      <c r="E250" s="8" t="s">
        <v>237</v>
      </c>
      <c r="F250" s="8" t="s">
        <v>295</v>
      </c>
    </row>
    <row r="251" customFormat="false" ht="15" hidden="false" customHeight="true" outlineLevel="0" collapsed="false">
      <c r="A251" s="8" t="n">
        <v>5</v>
      </c>
      <c r="B251" s="8" t="s">
        <v>263</v>
      </c>
      <c r="C251" s="8" t="s">
        <v>235</v>
      </c>
      <c r="D251" s="8" t="s">
        <v>236</v>
      </c>
      <c r="E251" s="8" t="s">
        <v>237</v>
      </c>
      <c r="F251" s="8" t="s">
        <v>265</v>
      </c>
    </row>
    <row r="253" customFormat="false" ht="15" hidden="false" customHeight="true" outlineLevel="0" collapsed="false">
      <c r="A253" s="48" t="s">
        <v>214</v>
      </c>
      <c r="B253" s="49"/>
      <c r="C253" s="49"/>
      <c r="D253" s="48" t="s">
        <v>226</v>
      </c>
      <c r="E253" s="50" t="n">
        <v>16</v>
      </c>
      <c r="F253" s="49"/>
    </row>
    <row r="254" customFormat="false" ht="15" hidden="false" customHeight="true" outlineLevel="0" collapsed="false">
      <c r="A254" s="51" t="s">
        <v>227</v>
      </c>
      <c r="B254" s="52" t="n">
        <v>46488</v>
      </c>
      <c r="C254" s="51" t="s">
        <v>228</v>
      </c>
      <c r="D254" s="5" t="n">
        <f aca="false">COUNTIF(Dagschema!$F$2:$F$190,"Lang 16 km (6 km wedstrijdtempo)")</f>
        <v>1</v>
      </c>
    </row>
    <row r="255" customFormat="false" ht="15" hidden="false" customHeight="true" outlineLevel="0" collapsed="false">
      <c r="A255" s="53" t="s">
        <v>100</v>
      </c>
      <c r="B255" s="53" t="s">
        <v>229</v>
      </c>
      <c r="C255" s="53" t="s">
        <v>230</v>
      </c>
      <c r="D255" s="53" t="s">
        <v>231</v>
      </c>
      <c r="E255" s="53" t="s">
        <v>232</v>
      </c>
      <c r="F255" s="53" t="s">
        <v>233</v>
      </c>
    </row>
    <row r="256" customFormat="false" ht="15" hidden="false" customHeight="true" outlineLevel="0" collapsed="false">
      <c r="A256" s="8" t="n">
        <v>1</v>
      </c>
      <c r="B256" s="8" t="s">
        <v>234</v>
      </c>
      <c r="C256" s="8" t="s">
        <v>235</v>
      </c>
      <c r="D256" s="8" t="s">
        <v>236</v>
      </c>
      <c r="E256" s="8" t="s">
        <v>237</v>
      </c>
      <c r="F256" s="8" t="s">
        <v>243</v>
      </c>
    </row>
    <row r="257" customFormat="false" ht="15" hidden="false" customHeight="true" outlineLevel="0" collapsed="false">
      <c r="A257" s="8" t="n">
        <v>2</v>
      </c>
      <c r="B257" s="8" t="s">
        <v>244</v>
      </c>
      <c r="C257" s="8" t="s">
        <v>235</v>
      </c>
      <c r="D257" s="8" t="s">
        <v>339</v>
      </c>
      <c r="E257" s="8" t="s">
        <v>241</v>
      </c>
      <c r="F257" s="8" t="s">
        <v>249</v>
      </c>
    </row>
    <row r="258" customFormat="false" ht="15" hidden="false" customHeight="true" outlineLevel="0" collapsed="false">
      <c r="A258" s="8" t="n">
        <v>3</v>
      </c>
      <c r="B258" s="8" t="s">
        <v>322</v>
      </c>
      <c r="C258" s="8" t="s">
        <v>235</v>
      </c>
      <c r="D258" s="8" t="s">
        <v>245</v>
      </c>
      <c r="E258" s="8" t="s">
        <v>277</v>
      </c>
      <c r="F258" s="8" t="s">
        <v>323</v>
      </c>
    </row>
    <row r="259" customFormat="false" ht="15" hidden="false" customHeight="true" outlineLevel="0" collapsed="false">
      <c r="A259" s="8" t="n">
        <v>4</v>
      </c>
      <c r="B259" s="8" t="s">
        <v>263</v>
      </c>
      <c r="C259" s="8" t="s">
        <v>235</v>
      </c>
      <c r="D259" s="8" t="s">
        <v>264</v>
      </c>
      <c r="E259" s="8" t="s">
        <v>237</v>
      </c>
      <c r="F259" s="8" t="s">
        <v>265</v>
      </c>
    </row>
    <row r="261" customFormat="false" ht="15" hidden="false" customHeight="true" outlineLevel="0" collapsed="false">
      <c r="A261" s="48" t="s">
        <v>131</v>
      </c>
      <c r="B261" s="49"/>
      <c r="C261" s="49"/>
      <c r="D261" s="48" t="s">
        <v>226</v>
      </c>
      <c r="E261" s="50" t="n">
        <v>8.4</v>
      </c>
      <c r="F261" s="49"/>
    </row>
    <row r="262" customFormat="false" ht="15" hidden="false" customHeight="true" outlineLevel="0" collapsed="false">
      <c r="A262" s="51" t="s">
        <v>227</v>
      </c>
      <c r="B262" s="52" t="n">
        <v>46491</v>
      </c>
      <c r="C262" s="51" t="s">
        <v>228</v>
      </c>
      <c r="D262" s="5" t="n">
        <f aca="false">COUNTIF(Dagschema!$F$2:$F$190,"Interval 4×1 km (taper)")</f>
        <v>1</v>
      </c>
    </row>
    <row r="263" customFormat="false" ht="15" hidden="false" customHeight="true" outlineLevel="0" collapsed="false">
      <c r="A263" s="53" t="s">
        <v>100</v>
      </c>
      <c r="B263" s="53" t="s">
        <v>229</v>
      </c>
      <c r="C263" s="53" t="s">
        <v>230</v>
      </c>
      <c r="D263" s="53" t="s">
        <v>231</v>
      </c>
      <c r="E263" s="53" t="s">
        <v>232</v>
      </c>
      <c r="F263" s="53" t="s">
        <v>233</v>
      </c>
    </row>
    <row r="264" customFormat="false" ht="15" hidden="false" customHeight="true" outlineLevel="0" collapsed="false">
      <c r="A264" s="8" t="n">
        <v>1</v>
      </c>
      <c r="B264" s="8" t="s">
        <v>234</v>
      </c>
      <c r="C264" s="8" t="s">
        <v>235</v>
      </c>
      <c r="D264" s="8" t="s">
        <v>271</v>
      </c>
      <c r="E264" s="8" t="s">
        <v>241</v>
      </c>
      <c r="F264" s="8" t="s">
        <v>309</v>
      </c>
    </row>
    <row r="265" customFormat="false" ht="15" hidden="false" customHeight="true" outlineLevel="0" collapsed="false">
      <c r="A265" s="8" t="n">
        <v>2</v>
      </c>
      <c r="B265" s="8" t="s">
        <v>324</v>
      </c>
      <c r="C265" s="8" t="s">
        <v>251</v>
      </c>
      <c r="D265" s="8" t="s">
        <v>325</v>
      </c>
      <c r="E265" s="8" t="s">
        <v>149</v>
      </c>
      <c r="F265" s="8" t="s">
        <v>326</v>
      </c>
    </row>
    <row r="266" customFormat="false" ht="15" hidden="false" customHeight="true" outlineLevel="0" collapsed="false">
      <c r="A266" s="8" t="n">
        <v>3</v>
      </c>
      <c r="B266" s="8" t="s">
        <v>313</v>
      </c>
      <c r="C266" s="8" t="s">
        <v>235</v>
      </c>
      <c r="D266" s="8" t="s">
        <v>236</v>
      </c>
      <c r="E266" s="8" t="s">
        <v>314</v>
      </c>
      <c r="F266" s="8" t="s">
        <v>340</v>
      </c>
    </row>
    <row r="267" customFormat="false" ht="15" hidden="false" customHeight="true" outlineLevel="0" collapsed="false">
      <c r="A267" s="8" t="n">
        <v>4</v>
      </c>
      <c r="B267" s="8" t="s">
        <v>259</v>
      </c>
      <c r="C267" s="8" t="s">
        <v>255</v>
      </c>
      <c r="D267" s="8" t="s">
        <v>294</v>
      </c>
      <c r="E267" s="8" t="s">
        <v>237</v>
      </c>
      <c r="F267" s="8" t="s">
        <v>295</v>
      </c>
    </row>
    <row r="268" customFormat="false" ht="15" hidden="false" customHeight="true" outlineLevel="0" collapsed="false">
      <c r="A268" s="8" t="n">
        <v>5</v>
      </c>
      <c r="B268" s="8" t="s">
        <v>263</v>
      </c>
      <c r="C268" s="8" t="s">
        <v>235</v>
      </c>
      <c r="D268" s="8" t="s">
        <v>316</v>
      </c>
      <c r="E268" s="8" t="s">
        <v>237</v>
      </c>
      <c r="F268" s="8" t="s">
        <v>265</v>
      </c>
    </row>
    <row r="270" customFormat="false" ht="15" hidden="false" customHeight="true" outlineLevel="0" collapsed="false">
      <c r="A270" s="48" t="s">
        <v>216</v>
      </c>
      <c r="B270" s="49"/>
      <c r="C270" s="49"/>
      <c r="D270" s="48" t="s">
        <v>226</v>
      </c>
      <c r="E270" s="50" t="n">
        <v>12</v>
      </c>
      <c r="F270" s="49"/>
    </row>
    <row r="271" customFormat="false" ht="15" hidden="false" customHeight="true" outlineLevel="0" collapsed="false">
      <c r="A271" s="51" t="s">
        <v>227</v>
      </c>
      <c r="B271" s="52" t="n">
        <v>46495</v>
      </c>
      <c r="C271" s="51" t="s">
        <v>228</v>
      </c>
      <c r="D271" s="5" t="n">
        <f aca="false">COUNTIF(Dagschema!$F$2:$F$190,"Lang 12 km (3 km wedstrijdtempo)")</f>
        <v>1</v>
      </c>
    </row>
    <row r="272" customFormat="false" ht="15" hidden="false" customHeight="true" outlineLevel="0" collapsed="false">
      <c r="A272" s="53" t="s">
        <v>100</v>
      </c>
      <c r="B272" s="53" t="s">
        <v>229</v>
      </c>
      <c r="C272" s="53" t="s">
        <v>230</v>
      </c>
      <c r="D272" s="53" t="s">
        <v>231</v>
      </c>
      <c r="E272" s="53" t="s">
        <v>232</v>
      </c>
      <c r="F272" s="53" t="s">
        <v>233</v>
      </c>
    </row>
    <row r="273" customFormat="false" ht="15" hidden="false" customHeight="true" outlineLevel="0" collapsed="false">
      <c r="A273" s="8" t="n">
        <v>1</v>
      </c>
      <c r="B273" s="8" t="s">
        <v>234</v>
      </c>
      <c r="C273" s="8" t="s">
        <v>235</v>
      </c>
      <c r="D273" s="8" t="s">
        <v>236</v>
      </c>
      <c r="E273" s="8" t="s">
        <v>237</v>
      </c>
      <c r="F273" s="8" t="s">
        <v>243</v>
      </c>
    </row>
    <row r="274" customFormat="false" ht="15" hidden="false" customHeight="true" outlineLevel="0" collapsed="false">
      <c r="A274" s="8" t="n">
        <v>2</v>
      </c>
      <c r="B274" s="8" t="s">
        <v>244</v>
      </c>
      <c r="C274" s="8" t="s">
        <v>235</v>
      </c>
      <c r="D274" s="8" t="s">
        <v>341</v>
      </c>
      <c r="E274" s="8" t="s">
        <v>241</v>
      </c>
      <c r="F274" s="8" t="s">
        <v>249</v>
      </c>
    </row>
    <row r="275" customFormat="false" ht="15" hidden="false" customHeight="true" outlineLevel="0" collapsed="false">
      <c r="A275" s="8" t="n">
        <v>3</v>
      </c>
      <c r="B275" s="8" t="s">
        <v>322</v>
      </c>
      <c r="C275" s="8" t="s">
        <v>235</v>
      </c>
      <c r="D275" s="8" t="s">
        <v>240</v>
      </c>
      <c r="E275" s="8" t="s">
        <v>277</v>
      </c>
      <c r="F275" s="8" t="s">
        <v>323</v>
      </c>
    </row>
    <row r="276" customFormat="false" ht="15" hidden="false" customHeight="true" outlineLevel="0" collapsed="false">
      <c r="A276" s="8" t="n">
        <v>4</v>
      </c>
      <c r="B276" s="8" t="s">
        <v>263</v>
      </c>
      <c r="C276" s="8" t="s">
        <v>235</v>
      </c>
      <c r="D276" s="8" t="s">
        <v>264</v>
      </c>
      <c r="E276" s="8" t="s">
        <v>237</v>
      </c>
      <c r="F276" s="8" t="s">
        <v>265</v>
      </c>
    </row>
    <row r="278" customFormat="false" ht="15" hidden="false" customHeight="true" outlineLevel="0" collapsed="false">
      <c r="A278" s="48" t="s">
        <v>132</v>
      </c>
      <c r="B278" s="49"/>
      <c r="C278" s="49"/>
      <c r="D278" s="48" t="s">
        <v>226</v>
      </c>
      <c r="E278" s="50" t="n">
        <v>6.6</v>
      </c>
      <c r="F278" s="49"/>
    </row>
    <row r="279" customFormat="false" ht="15" hidden="false" customHeight="true" outlineLevel="0" collapsed="false">
      <c r="A279" s="51" t="s">
        <v>227</v>
      </c>
      <c r="B279" s="52" t="n">
        <v>46498</v>
      </c>
      <c r="C279" s="51" t="s">
        <v>228</v>
      </c>
      <c r="D279" s="5" t="n">
        <f aca="false">COUNTIF(Dagschema!$F$2:$F$190,"Wedstrijdtempo 3×1 km")</f>
        <v>1</v>
      </c>
    </row>
    <row r="280" customFormat="false" ht="15" hidden="false" customHeight="true" outlineLevel="0" collapsed="false">
      <c r="A280" s="53" t="s">
        <v>100</v>
      </c>
      <c r="B280" s="53" t="s">
        <v>229</v>
      </c>
      <c r="C280" s="53" t="s">
        <v>230</v>
      </c>
      <c r="D280" s="53" t="s">
        <v>231</v>
      </c>
      <c r="E280" s="53" t="s">
        <v>232</v>
      </c>
      <c r="F280" s="53" t="s">
        <v>233</v>
      </c>
    </row>
    <row r="281" customFormat="false" ht="15" hidden="false" customHeight="true" outlineLevel="0" collapsed="false">
      <c r="A281" s="8" t="n">
        <v>1</v>
      </c>
      <c r="B281" s="8" t="s">
        <v>234</v>
      </c>
      <c r="C281" s="8" t="s">
        <v>235</v>
      </c>
      <c r="D281" s="8" t="s">
        <v>271</v>
      </c>
      <c r="E281" s="8" t="s">
        <v>241</v>
      </c>
      <c r="F281" s="8" t="s">
        <v>309</v>
      </c>
    </row>
    <row r="282" customFormat="false" ht="15" hidden="false" customHeight="true" outlineLevel="0" collapsed="false">
      <c r="A282" s="8" t="n">
        <v>2</v>
      </c>
      <c r="B282" s="8" t="s">
        <v>288</v>
      </c>
      <c r="C282" s="8" t="s">
        <v>251</v>
      </c>
      <c r="D282" s="8" t="s">
        <v>289</v>
      </c>
      <c r="E282" s="8" t="s">
        <v>149</v>
      </c>
      <c r="F282" s="8" t="s">
        <v>331</v>
      </c>
    </row>
    <row r="283" customFormat="false" ht="15" hidden="false" customHeight="true" outlineLevel="0" collapsed="false">
      <c r="A283" s="8" t="n">
        <v>3</v>
      </c>
      <c r="B283" s="8" t="s">
        <v>313</v>
      </c>
      <c r="C283" s="8" t="s">
        <v>235</v>
      </c>
      <c r="D283" s="8" t="s">
        <v>236</v>
      </c>
      <c r="E283" s="8" t="s">
        <v>277</v>
      </c>
      <c r="F283" s="8" t="s">
        <v>342</v>
      </c>
    </row>
    <row r="284" customFormat="false" ht="15" hidden="false" customHeight="true" outlineLevel="0" collapsed="false">
      <c r="A284" s="8" t="n">
        <v>4</v>
      </c>
      <c r="B284" s="8" t="s">
        <v>259</v>
      </c>
      <c r="C284" s="8" t="s">
        <v>255</v>
      </c>
      <c r="D284" s="8" t="s">
        <v>294</v>
      </c>
      <c r="E284" s="8" t="s">
        <v>237</v>
      </c>
      <c r="F284" s="8" t="s">
        <v>295</v>
      </c>
    </row>
    <row r="285" customFormat="false" ht="15" hidden="false" customHeight="true" outlineLevel="0" collapsed="false">
      <c r="A285" s="8" t="n">
        <v>5</v>
      </c>
      <c r="B285" s="8" t="s">
        <v>263</v>
      </c>
      <c r="C285" s="8" t="s">
        <v>235</v>
      </c>
      <c r="D285" s="8" t="s">
        <v>236</v>
      </c>
      <c r="E285" s="8" t="s">
        <v>237</v>
      </c>
      <c r="F285" s="8" t="s">
        <v>265</v>
      </c>
    </row>
    <row r="287" customFormat="false" ht="15" hidden="false" customHeight="true" outlineLevel="0" collapsed="false">
      <c r="A287" s="48" t="s">
        <v>220</v>
      </c>
      <c r="B287" s="49"/>
      <c r="C287" s="49"/>
      <c r="D287" s="48" t="s">
        <v>226</v>
      </c>
      <c r="E287" s="50" t="n">
        <v>3.7</v>
      </c>
      <c r="F287" s="49"/>
    </row>
    <row r="288" customFormat="false" ht="15" hidden="false" customHeight="true" outlineLevel="0" collapsed="false">
      <c r="A288" s="51" t="s">
        <v>227</v>
      </c>
      <c r="B288" s="52" t="n">
        <v>46501</v>
      </c>
      <c r="C288" s="51" t="s">
        <v>228</v>
      </c>
      <c r="D288" s="5" t="n">
        <f aca="false">COUNTIF(Dagschema!$F$2:$F$190,"Shake-out 20'")</f>
        <v>1</v>
      </c>
    </row>
    <row r="289" customFormat="false" ht="15" hidden="false" customHeight="true" outlineLevel="0" collapsed="false">
      <c r="A289" s="53" t="s">
        <v>100</v>
      </c>
      <c r="B289" s="53" t="s">
        <v>229</v>
      </c>
      <c r="C289" s="53" t="s">
        <v>230</v>
      </c>
      <c r="D289" s="53" t="s">
        <v>231</v>
      </c>
      <c r="E289" s="53" t="s">
        <v>232</v>
      </c>
      <c r="F289" s="53" t="s">
        <v>233</v>
      </c>
    </row>
    <row r="290" customFormat="false" ht="15" hidden="false" customHeight="true" outlineLevel="0" collapsed="false">
      <c r="A290" s="8" t="n">
        <v>1</v>
      </c>
      <c r="B290" s="8" t="s">
        <v>239</v>
      </c>
      <c r="C290" s="8" t="s">
        <v>255</v>
      </c>
      <c r="D290" s="8" t="s">
        <v>317</v>
      </c>
      <c r="E290" s="8" t="s">
        <v>237</v>
      </c>
      <c r="F290" s="8" t="s">
        <v>343</v>
      </c>
    </row>
    <row r="291" customFormat="false" ht="15" hidden="false" customHeight="true" outlineLevel="0" collapsed="false">
      <c r="A291" s="8" t="n">
        <v>2</v>
      </c>
      <c r="B291" s="8" t="s">
        <v>324</v>
      </c>
      <c r="C291" s="8" t="s">
        <v>251</v>
      </c>
      <c r="D291" s="8" t="s">
        <v>325</v>
      </c>
      <c r="E291" s="8" t="s">
        <v>149</v>
      </c>
      <c r="F291" s="8" t="s">
        <v>344</v>
      </c>
    </row>
    <row r="292" customFormat="false" ht="15" hidden="false" customHeight="true" outlineLevel="0" collapsed="false">
      <c r="A292" s="8" t="n">
        <v>3</v>
      </c>
      <c r="B292" s="8" t="s">
        <v>254</v>
      </c>
      <c r="C292" s="8" t="s">
        <v>255</v>
      </c>
      <c r="D292" s="8" t="s">
        <v>345</v>
      </c>
      <c r="E292" s="8" t="s">
        <v>257</v>
      </c>
      <c r="F292" s="8" t="s">
        <v>346</v>
      </c>
    </row>
    <row r="293" customFormat="false" ht="15" hidden="false" customHeight="true" outlineLevel="0" collapsed="false">
      <c r="A293" s="8" t="n">
        <v>4</v>
      </c>
      <c r="B293" s="8" t="s">
        <v>259</v>
      </c>
      <c r="C293" s="8" t="s">
        <v>255</v>
      </c>
      <c r="D293" s="8" t="s">
        <v>347</v>
      </c>
      <c r="E293" s="8" t="s">
        <v>261</v>
      </c>
      <c r="F293" s="8" t="s">
        <v>348</v>
      </c>
    </row>
    <row r="295" customFormat="false" ht="15" hidden="false" customHeight="true" outlineLevel="0" collapsed="false">
      <c r="A295" s="48" t="s">
        <v>222</v>
      </c>
      <c r="B295" s="49"/>
      <c r="C295" s="49"/>
      <c r="D295" s="48" t="s">
        <v>226</v>
      </c>
      <c r="E295" s="50" t="n">
        <v>16.1</v>
      </c>
      <c r="F295" s="49"/>
    </row>
    <row r="296" customFormat="false" ht="15" hidden="false" customHeight="true" outlineLevel="0" collapsed="false">
      <c r="A296" s="51" t="s">
        <v>227</v>
      </c>
      <c r="B296" s="52" t="n">
        <v>46502</v>
      </c>
      <c r="C296" s="51" t="s">
        <v>228</v>
      </c>
      <c r="D296" s="5" t="n">
        <f aca="false">COUNTIF(Dagschema!$F$2:$F$190,"Antwerp 10 Miles")</f>
        <v>1</v>
      </c>
    </row>
    <row r="297" customFormat="false" ht="15" hidden="false" customHeight="true" outlineLevel="0" collapsed="false">
      <c r="A297" s="53" t="s">
        <v>100</v>
      </c>
      <c r="B297" s="53" t="s">
        <v>229</v>
      </c>
      <c r="C297" s="53" t="s">
        <v>230</v>
      </c>
      <c r="D297" s="53" t="s">
        <v>231</v>
      </c>
      <c r="E297" s="53" t="s">
        <v>232</v>
      </c>
      <c r="F297" s="53" t="s">
        <v>233</v>
      </c>
    </row>
    <row r="298" customFormat="false" ht="26.25" hidden="false" customHeight="true" outlineLevel="0" collapsed="false">
      <c r="A298" s="8" t="n">
        <v>1</v>
      </c>
      <c r="B298" s="8" t="s">
        <v>349</v>
      </c>
      <c r="C298" s="8" t="s">
        <v>235</v>
      </c>
      <c r="D298" s="8" t="s">
        <v>350</v>
      </c>
      <c r="E298" s="8" t="s">
        <v>351</v>
      </c>
      <c r="F298" s="8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2026-10-17T19:47:49Z</dcterms:created>
  <dc:creator>openpyxl</dc:creator>
  <dc:description/>
  <dc:language>en-US</dc:language>
  <cp:lastModifiedBy/>
  <dcterms:modified xsi:type="dcterms:W3CDTF">2026-10-17T19:54:48Z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